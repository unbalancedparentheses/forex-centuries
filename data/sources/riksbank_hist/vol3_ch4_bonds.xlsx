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ingman/Dropbox/riksbanken_series/volume_3/"/>
    </mc:Choice>
  </mc:AlternateContent>
  <xr:revisionPtr revIDLastSave="0" documentId="13_ncr:1_{79C43A28-E9BA-C74B-8C4F-A822F5B7F175}" xr6:coauthVersionLast="47" xr6:coauthVersionMax="47" xr10:uidLastSave="{00000000-0000-0000-0000-000000000000}"/>
  <bookViews>
    <workbookView xWindow="0" yWindow="500" windowWidth="25040" windowHeight="19180" activeTab="3" xr2:uid="{CAC1B908-AF81-0846-B85C-D1B99F69E133}"/>
  </bookViews>
  <sheets>
    <sheet name="Front" sheetId="9" r:id="rId1"/>
    <sheet name="Table III A4.1" sheetId="3" r:id="rId2"/>
    <sheet name="Table III A4.2" sheetId="6" r:id="rId3"/>
    <sheet name="Table III A4.3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6" l="1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4" i="6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Lars Ahnland</author>
  </authors>
  <commentList>
    <comment ref="C159" authorId="0" shapeId="0" xr:uid="{831EA73C-61D2-3148-B74B-B024C42EE342}">
      <text>
        <r>
          <rPr>
            <sz val="9"/>
            <color indexed="81"/>
            <rFont val="Tahoma"/>
            <family val="2"/>
          </rPr>
          <t>From 1990 only includes credit to the Swedish general public.</t>
        </r>
      </text>
    </comment>
  </commentList>
</comments>
</file>

<file path=xl/sharedStrings.xml><?xml version="1.0" encoding="utf-8"?>
<sst xmlns="http://schemas.openxmlformats.org/spreadsheetml/2006/main" count="52" uniqueCount="31">
  <si>
    <t>Year</t>
  </si>
  <si>
    <t>Swedish Riksbank</t>
  </si>
  <si>
    <r>
      <t xml:space="preserve">Swedish Riksbank - </t>
    </r>
    <r>
      <rPr>
        <i/>
        <sz val="8"/>
        <color indexed="18"/>
        <rFont val="Arial"/>
        <family val="2"/>
      </rPr>
      <t>Sveriges Riksbank</t>
    </r>
  </si>
  <si>
    <r>
      <t>Author</t>
    </r>
    <r>
      <rPr>
        <b/>
        <sz val="10"/>
        <color indexed="18"/>
        <rFont val="Arial"/>
        <family val="2"/>
      </rPr>
      <t>:</t>
    </r>
  </si>
  <si>
    <t>Sources:</t>
  </si>
  <si>
    <t>Back to front
◄</t>
  </si>
  <si>
    <t>The Swedish Bond Market, 1835–2020</t>
  </si>
  <si>
    <t>Den svenska obligationsmarknaden 1835–2020</t>
  </si>
  <si>
    <t>Waldenström, Daniel (2022), 'The Swedish Bond Market, 1835–2020',  in Historical Monetary and Financial Statistics for Sweden, Volume III: Banking, Bonds, National Wealth, and Stockholm House Proces 1420–2020, eds. Rodney Edvinsson, Tor Jacobson and Daniel Waldenström). Sveriges Riksbank and Ekerlids.</t>
  </si>
  <si>
    <t>Table III A4.1</t>
  </si>
  <si>
    <t>Table III A4.2</t>
  </si>
  <si>
    <t>Table III A4.3</t>
  </si>
  <si>
    <t>Table A4.3: External debt (foreign currency denomination)</t>
  </si>
  <si>
    <t>External debt (foreign currency denomination).</t>
  </si>
  <si>
    <t>Table A4.2: Bonds in circulation.</t>
  </si>
  <si>
    <t>Bonds in circulation.</t>
  </si>
  <si>
    <t>Table A4.1: New bond issues.</t>
  </si>
  <si>
    <t>New bond issues.</t>
  </si>
  <si>
    <t>Total</t>
  </si>
  <si>
    <t>Government</t>
  </si>
  <si>
    <t>Municipality</t>
  </si>
  <si>
    <t>Financial</t>
  </si>
  <si>
    <t>Railway</t>
  </si>
  <si>
    <t>Industry</t>
  </si>
  <si>
    <t>Finance</t>
  </si>
  <si>
    <t>New bond issues</t>
  </si>
  <si>
    <t>Bonds in circulation</t>
  </si>
  <si>
    <t>Daniel Waldenström</t>
  </si>
  <si>
    <t>Version 1.0</t>
  </si>
  <si>
    <t>Corporations</t>
  </si>
  <si>
    <t>Other corporations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</si>
</sst>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k_r_-;\-* #,##0.00\ _k_r_-;_-* &quot;-&quot;??\ _k_r_-;_-@_-"/>
    <numFmt numFmtId="165" formatCode="[$-41D]mmm/yy;@"/>
    <numFmt numFmtId="166" formatCode="#,##0.0"/>
  </numFmts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  <charset val="204"/>
    </font>
    <font>
      <b/>
      <sz val="10"/>
      <color indexed="18"/>
      <name val="Arial"/>
      <family val="2"/>
    </font>
    <font>
      <sz val="10"/>
      <name val="Arial"/>
      <family val="2"/>
    </font>
    <font>
      <sz val="8"/>
      <color indexed="18"/>
      <name val="Arial"/>
      <family val="2"/>
    </font>
    <font>
      <u/>
      <sz val="10"/>
      <color indexed="12"/>
      <name val="Arial"/>
      <family val="2"/>
    </font>
    <font>
      <sz val="10"/>
      <color indexed="1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sz val="8"/>
      <color theme="1"/>
      <name val="Arial"/>
      <family val="2"/>
    </font>
    <font>
      <u/>
      <sz val="12"/>
      <color theme="10"/>
      <name val="Calibri"/>
      <family val="2"/>
      <scheme val="minor"/>
    </font>
    <font>
      <i/>
      <sz val="8"/>
      <color indexed="18"/>
      <name val="Arial"/>
      <family val="2"/>
    </font>
    <font>
      <b/>
      <sz val="14"/>
      <color indexed="18"/>
      <name val="Arial"/>
      <family val="2"/>
    </font>
    <font>
      <b/>
      <i/>
      <sz val="14"/>
      <color indexed="18"/>
      <name val="Arial"/>
      <family val="2"/>
    </font>
    <font>
      <sz val="9"/>
      <color indexed="18"/>
      <name val="Arial"/>
      <family val="2"/>
    </font>
    <font>
      <sz val="8"/>
      <name val="Helvetic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" fillId="0" borderId="0"/>
    <xf numFmtId="0" fontId="13" fillId="0" borderId="0" applyNumberFormat="0" applyFill="0" applyBorder="0" applyAlignment="0" applyProtection="0"/>
  </cellStyleXfs>
  <cellXfs count="41">
    <xf numFmtId="0" fontId="0" fillId="0" borderId="0" xfId="0"/>
    <xf numFmtId="0" fontId="6" fillId="0" borderId="0" xfId="3"/>
    <xf numFmtId="0" fontId="5" fillId="2" borderId="0" xfId="3" applyFont="1" applyFill="1" applyAlignment="1">
      <alignment horizontal="center" vertical="center" wrapText="1"/>
    </xf>
    <xf numFmtId="0" fontId="7" fillId="2" borderId="0" xfId="3" applyFont="1" applyFill="1" applyAlignment="1">
      <alignment horizontal="center"/>
    </xf>
    <xf numFmtId="0" fontId="7" fillId="0" borderId="0" xfId="3" applyFont="1"/>
    <xf numFmtId="0" fontId="7" fillId="2" borderId="0" xfId="0" applyFont="1" applyFill="1" applyBorder="1" applyAlignment="1">
      <alignment horizontal="center"/>
    </xf>
    <xf numFmtId="0" fontId="0" fillId="3" borderId="0" xfId="0" applyFill="1"/>
    <xf numFmtId="0" fontId="7" fillId="3" borderId="0" xfId="0" applyFont="1" applyFill="1"/>
    <xf numFmtId="0" fontId="9" fillId="3" borderId="0" xfId="0" applyFont="1" applyFill="1"/>
    <xf numFmtId="0" fontId="15" fillId="3" borderId="0" xfId="0" applyFont="1" applyFill="1"/>
    <xf numFmtId="0" fontId="16" fillId="3" borderId="0" xfId="0" applyFont="1" applyFill="1"/>
    <xf numFmtId="0" fontId="13" fillId="3" borderId="0" xfId="7" applyFill="1" applyAlignment="1" applyProtection="1"/>
    <xf numFmtId="2" fontId="17" fillId="3" borderId="0" xfId="0" applyNumberFormat="1" applyFont="1" applyFill="1"/>
    <xf numFmtId="0" fontId="5" fillId="3" borderId="0" xfId="0" applyFont="1" applyFill="1"/>
    <xf numFmtId="165" fontId="13" fillId="2" borderId="0" xfId="7" applyNumberFormat="1" applyFill="1" applyAlignment="1" applyProtection="1">
      <alignment horizontal="center" vertical="center" wrapText="1"/>
    </xf>
    <xf numFmtId="0" fontId="5" fillId="2" borderId="0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7" fillId="2" borderId="1" xfId="3" applyFont="1" applyFill="1" applyBorder="1" applyAlignment="1">
      <alignment horizontal="center"/>
    </xf>
    <xf numFmtId="166" fontId="3" fillId="3" borderId="0" xfId="3" applyNumberFormat="1" applyFont="1" applyFill="1" applyAlignment="1">
      <alignment horizontal="center" vertical="center"/>
    </xf>
    <xf numFmtId="166" fontId="3" fillId="3" borderId="0" xfId="3" applyNumberFormat="1" applyFont="1" applyFill="1" applyAlignment="1">
      <alignment horizontal="center"/>
    </xf>
    <xf numFmtId="166" fontId="18" fillId="3" borderId="0" xfId="5" applyNumberFormat="1" applyFont="1" applyFill="1" applyAlignment="1">
      <alignment horizontal="center" wrapText="1"/>
    </xf>
    <xf numFmtId="166" fontId="3" fillId="3" borderId="0" xfId="3" applyNumberFormat="1" applyFont="1" applyFill="1" applyBorder="1" applyAlignment="1">
      <alignment horizontal="center"/>
    </xf>
    <xf numFmtId="166" fontId="3" fillId="3" borderId="1" xfId="3" applyNumberFormat="1" applyFont="1" applyFill="1" applyBorder="1" applyAlignment="1">
      <alignment horizontal="center"/>
    </xf>
    <xf numFmtId="3" fontId="3" fillId="3" borderId="0" xfId="3" applyNumberFormat="1" applyFont="1" applyFill="1" applyAlignment="1">
      <alignment horizontal="center" vertical="center"/>
    </xf>
    <xf numFmtId="3" fontId="3" fillId="3" borderId="1" xfId="3" applyNumberFormat="1" applyFont="1" applyFill="1" applyBorder="1" applyAlignment="1">
      <alignment horizontal="center" vertical="center"/>
    </xf>
    <xf numFmtId="166" fontId="12" fillId="3" borderId="0" xfId="1" applyNumberFormat="1" applyFont="1" applyFill="1" applyAlignment="1">
      <alignment horizontal="center"/>
    </xf>
    <xf numFmtId="4" fontId="3" fillId="3" borderId="0" xfId="3" applyNumberFormat="1" applyFont="1" applyFill="1" applyAlignment="1">
      <alignment horizontal="center"/>
    </xf>
    <xf numFmtId="0" fontId="5" fillId="2" borderId="0" xfId="3" applyFont="1" applyFill="1" applyAlignment="1">
      <alignment horizontal="left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3" fontId="3" fillId="3" borderId="0" xfId="3" applyNumberFormat="1" applyFont="1" applyFill="1" applyBorder="1" applyAlignment="1">
      <alignment horizontal="center"/>
    </xf>
    <xf numFmtId="3" fontId="3" fillId="3" borderId="4" xfId="3" applyNumberFormat="1" applyFont="1" applyFill="1" applyBorder="1" applyAlignment="1">
      <alignment horizontal="center"/>
    </xf>
    <xf numFmtId="3" fontId="3" fillId="3" borderId="0" xfId="3" applyNumberFormat="1" applyFont="1" applyFill="1" applyAlignment="1">
      <alignment horizontal="center"/>
    </xf>
    <xf numFmtId="3" fontId="3" fillId="3" borderId="0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3" fontId="19" fillId="3" borderId="0" xfId="0" applyNumberFormat="1" applyFont="1" applyFill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3" fontId="12" fillId="3" borderId="0" xfId="0" applyNumberFormat="1" applyFont="1" applyFill="1" applyBorder="1" applyAlignment="1">
      <alignment horizontal="center"/>
    </xf>
    <xf numFmtId="3" fontId="3" fillId="3" borderId="5" xfId="0" applyNumberFormat="1" applyFont="1" applyFill="1" applyBorder="1" applyAlignment="1">
      <alignment horizontal="center"/>
    </xf>
    <xf numFmtId="4" fontId="3" fillId="3" borderId="1" xfId="3" applyNumberFormat="1" applyFont="1" applyFill="1" applyBorder="1" applyAlignment="1">
      <alignment horizontal="center"/>
    </xf>
  </cellXfs>
  <cellStyles count="8">
    <cellStyle name="Hyperlänk 2" xfId="4" xr:uid="{A068FB1D-DF31-D849-955E-028BBD158149}"/>
    <cellStyle name="Hyperlink" xfId="7" builtinId="8"/>
    <cellStyle name="Normal" xfId="0" builtinId="0"/>
    <cellStyle name="Normal 2" xfId="2" xr:uid="{2C80A95A-BB9C-9747-B34B-DB799BB4F2FB}"/>
    <cellStyle name="Normal 3" xfId="3" xr:uid="{0512E247-B7D8-914C-8812-1304BD06ACE1}"/>
    <cellStyle name="Normal 36" xfId="5" xr:uid="{B436497E-B6F1-484C-AAE9-620B405E5F36}"/>
    <cellStyle name="Normal 4" xfId="6" xr:uid="{A153367B-4E88-4185-AF42-92BA02D2456E}"/>
    <cellStyle name="Tusental 2" xfId="1" xr:uid="{F67EF5B9-7D88-764E-BF79-A9CF6000ED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DFF0-1243-4830-B361-8D7B97BD41E9}">
  <dimension ref="A1:AB59"/>
  <sheetViews>
    <sheetView workbookViewId="0">
      <selection activeCell="C6" sqref="C6"/>
    </sheetView>
  </sheetViews>
  <sheetFormatPr baseColWidth="10" defaultColWidth="8.83203125" defaultRowHeight="16" x14ac:dyDescent="0.2"/>
  <cols>
    <col min="3" max="3" width="16.1640625" customWidth="1"/>
  </cols>
  <sheetData>
    <row r="1" spans="1:28" x14ac:dyDescent="0.2">
      <c r="A1" s="7" t="s">
        <v>2</v>
      </c>
      <c r="B1" s="8"/>
      <c r="C1" s="8"/>
      <c r="D1" s="8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x14ac:dyDescent="0.2">
      <c r="A2" s="8"/>
      <c r="B2" s="8"/>
      <c r="C2" s="8"/>
      <c r="D2" s="8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8" x14ac:dyDescent="0.2">
      <c r="A3" s="8"/>
      <c r="B3" s="8"/>
      <c r="C3" s="9" t="s">
        <v>6</v>
      </c>
      <c r="D3" s="8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8" x14ac:dyDescent="0.2">
      <c r="A4" s="8"/>
      <c r="B4" s="8"/>
      <c r="C4" s="10" t="s">
        <v>7</v>
      </c>
      <c r="D4" s="8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x14ac:dyDescent="0.2">
      <c r="A5" s="8"/>
      <c r="B5" s="8"/>
      <c r="C5" s="8" t="s">
        <v>28</v>
      </c>
      <c r="D5" s="8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x14ac:dyDescent="0.2">
      <c r="A6" s="8"/>
      <c r="B6" s="8"/>
      <c r="C6" s="8"/>
      <c r="D6" s="8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x14ac:dyDescent="0.2">
      <c r="A7" s="8"/>
      <c r="B7" s="8"/>
      <c r="C7" s="8"/>
      <c r="D7" s="8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x14ac:dyDescent="0.2">
      <c r="A8" s="8"/>
      <c r="B8" s="8"/>
      <c r="C8" s="11" t="s">
        <v>9</v>
      </c>
      <c r="D8" s="12" t="s">
        <v>17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x14ac:dyDescent="0.2">
      <c r="A9" s="8"/>
      <c r="B9" s="8"/>
      <c r="C9" s="8"/>
      <c r="D9" s="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x14ac:dyDescent="0.2">
      <c r="A10" s="8"/>
      <c r="B10" s="8"/>
      <c r="C10" s="11" t="s">
        <v>10</v>
      </c>
      <c r="D10" s="12" t="s">
        <v>15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x14ac:dyDescent="0.2">
      <c r="A11" s="8"/>
      <c r="B11" s="8"/>
      <c r="C11" s="8"/>
      <c r="D11" s="8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x14ac:dyDescent="0.2">
      <c r="A12" s="8"/>
      <c r="B12" s="8"/>
      <c r="C12" s="11" t="s">
        <v>11</v>
      </c>
      <c r="D12" s="12" t="s">
        <v>13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x14ac:dyDescent="0.2">
      <c r="A13" s="8"/>
      <c r="B13" s="8"/>
      <c r="C13" s="8"/>
      <c r="D13" s="8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x14ac:dyDescent="0.2">
      <c r="A14" s="8"/>
      <c r="B14" s="8"/>
      <c r="C14" s="8"/>
      <c r="D14" s="8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x14ac:dyDescent="0.2">
      <c r="A15" s="8"/>
      <c r="B15" s="8"/>
      <c r="C15" s="6"/>
      <c r="D15" s="8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x14ac:dyDescent="0.2">
      <c r="A16" s="8"/>
      <c r="B16" s="8"/>
      <c r="C16" s="6"/>
      <c r="D16" s="8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x14ac:dyDescent="0.2">
      <c r="A17" s="8"/>
      <c r="B17" s="8"/>
      <c r="C17" s="6"/>
      <c r="D17" s="8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x14ac:dyDescent="0.2">
      <c r="A18" s="8"/>
      <c r="B18" s="8"/>
      <c r="C18" s="13" t="s">
        <v>3</v>
      </c>
      <c r="D18" s="8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x14ac:dyDescent="0.2">
      <c r="A19" s="8"/>
      <c r="B19" s="8"/>
      <c r="C19" s="8" t="s">
        <v>27</v>
      </c>
      <c r="D19" s="8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x14ac:dyDescent="0.2">
      <c r="A20" s="8"/>
      <c r="B20" s="8"/>
      <c r="C20" s="8"/>
      <c r="D20" s="8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x14ac:dyDescent="0.2">
      <c r="A21" s="6"/>
      <c r="B21" s="6"/>
      <c r="C21" s="13" t="s">
        <v>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x14ac:dyDescent="0.2">
      <c r="A22" s="6"/>
      <c r="B22" s="6"/>
      <c r="C22" s="8" t="s">
        <v>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x14ac:dyDescent="0.2">
      <c r="A23" s="6"/>
      <c r="B23" s="6"/>
      <c r="C23" s="8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</sheetData>
  <hyperlinks>
    <hyperlink ref="C10" location="'Table III A4.2'!A1" display="Table III A4.2" xr:uid="{EC7B2545-743A-44F6-93EB-B991C2EF303D}"/>
    <hyperlink ref="C12" location="'Table III A4.3'!A1" display="Table III A4.3" xr:uid="{E5F81831-5854-45F3-90D8-4CFF8CB715F1}"/>
    <hyperlink ref="C8" location="'Table III A4.1'!A1" display="Table III A4.1" xr:uid="{09524C73-996B-4521-AEE0-E8A4AB8C01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3156-3A63-5148-A367-B18B8D03DDBB}">
  <dimension ref="A1:I190"/>
  <sheetViews>
    <sheetView zoomScaleNormal="100" workbookViewId="0">
      <pane ySplit="3" topLeftCell="A4" activePane="bottomLeft" state="frozen"/>
      <selection pane="bottomLeft" activeCell="I4" sqref="I4"/>
    </sheetView>
  </sheetViews>
  <sheetFormatPr baseColWidth="10" defaultColWidth="10.6640625" defaultRowHeight="13" x14ac:dyDescent="0.15"/>
  <cols>
    <col min="1" max="1" width="10.6640625" style="1" customWidth="1"/>
    <col min="2" max="9" width="14.6640625" style="1" customWidth="1"/>
    <col min="10" max="249" width="8.83203125" style="1" customWidth="1"/>
    <col min="250" max="250" width="10.6640625" style="1" customWidth="1"/>
    <col min="251" max="265" width="14.6640625" style="1" customWidth="1"/>
    <col min="266" max="505" width="8.83203125" style="1" customWidth="1"/>
    <col min="506" max="506" width="10.6640625" style="1" customWidth="1"/>
    <col min="507" max="521" width="14.6640625" style="1" customWidth="1"/>
    <col min="522" max="761" width="8.83203125" style="1" customWidth="1"/>
    <col min="762" max="762" width="10.6640625" style="1" customWidth="1"/>
    <col min="763" max="777" width="14.6640625" style="1" customWidth="1"/>
    <col min="778" max="1017" width="8.83203125" style="1" customWidth="1"/>
    <col min="1018" max="1018" width="10.6640625" style="1" customWidth="1"/>
    <col min="1019" max="1033" width="14.6640625" style="1" customWidth="1"/>
    <col min="1034" max="1273" width="8.83203125" style="1" customWidth="1"/>
    <col min="1274" max="1274" width="10.6640625" style="1" customWidth="1"/>
    <col min="1275" max="1289" width="14.6640625" style="1" customWidth="1"/>
    <col min="1290" max="1529" width="8.83203125" style="1" customWidth="1"/>
    <col min="1530" max="1530" width="10.6640625" style="1" customWidth="1"/>
    <col min="1531" max="1545" width="14.6640625" style="1" customWidth="1"/>
    <col min="1546" max="1785" width="8.83203125" style="1" customWidth="1"/>
    <col min="1786" max="1786" width="10.6640625" style="1" customWidth="1"/>
    <col min="1787" max="1801" width="14.6640625" style="1" customWidth="1"/>
    <col min="1802" max="2041" width="8.83203125" style="1" customWidth="1"/>
    <col min="2042" max="2042" width="10.6640625" style="1" customWidth="1"/>
    <col min="2043" max="2057" width="14.6640625" style="1" customWidth="1"/>
    <col min="2058" max="2297" width="8.83203125" style="1" customWidth="1"/>
    <col min="2298" max="2298" width="10.6640625" style="1" customWidth="1"/>
    <col min="2299" max="2313" width="14.6640625" style="1" customWidth="1"/>
    <col min="2314" max="2553" width="8.83203125" style="1" customWidth="1"/>
    <col min="2554" max="2554" width="10.6640625" style="1" customWidth="1"/>
    <col min="2555" max="2569" width="14.6640625" style="1" customWidth="1"/>
    <col min="2570" max="2809" width="8.83203125" style="1" customWidth="1"/>
    <col min="2810" max="2810" width="10.6640625" style="1" customWidth="1"/>
    <col min="2811" max="2825" width="14.6640625" style="1" customWidth="1"/>
    <col min="2826" max="3065" width="8.83203125" style="1" customWidth="1"/>
    <col min="3066" max="3066" width="10.6640625" style="1" customWidth="1"/>
    <col min="3067" max="3081" width="14.6640625" style="1" customWidth="1"/>
    <col min="3082" max="3321" width="8.83203125" style="1" customWidth="1"/>
    <col min="3322" max="3322" width="10.6640625" style="1" customWidth="1"/>
    <col min="3323" max="3337" width="14.6640625" style="1" customWidth="1"/>
    <col min="3338" max="3577" width="8.83203125" style="1" customWidth="1"/>
    <col min="3578" max="3578" width="10.6640625" style="1" customWidth="1"/>
    <col min="3579" max="3593" width="14.6640625" style="1" customWidth="1"/>
    <col min="3594" max="3833" width="8.83203125" style="1" customWidth="1"/>
    <col min="3834" max="3834" width="10.6640625" style="1" customWidth="1"/>
    <col min="3835" max="3849" width="14.6640625" style="1" customWidth="1"/>
    <col min="3850" max="4089" width="8.83203125" style="1" customWidth="1"/>
    <col min="4090" max="4090" width="10.6640625" style="1" customWidth="1"/>
    <col min="4091" max="4105" width="14.6640625" style="1" customWidth="1"/>
    <col min="4106" max="4345" width="8.83203125" style="1" customWidth="1"/>
    <col min="4346" max="4346" width="10.6640625" style="1" customWidth="1"/>
    <col min="4347" max="4361" width="14.6640625" style="1" customWidth="1"/>
    <col min="4362" max="4601" width="8.83203125" style="1" customWidth="1"/>
    <col min="4602" max="4602" width="10.6640625" style="1" customWidth="1"/>
    <col min="4603" max="4617" width="14.6640625" style="1" customWidth="1"/>
    <col min="4618" max="4857" width="8.83203125" style="1" customWidth="1"/>
    <col min="4858" max="4858" width="10.6640625" style="1" customWidth="1"/>
    <col min="4859" max="4873" width="14.6640625" style="1" customWidth="1"/>
    <col min="4874" max="5113" width="8.83203125" style="1" customWidth="1"/>
    <col min="5114" max="5114" width="10.6640625" style="1" customWidth="1"/>
    <col min="5115" max="5129" width="14.6640625" style="1" customWidth="1"/>
    <col min="5130" max="5369" width="8.83203125" style="1" customWidth="1"/>
    <col min="5370" max="5370" width="10.6640625" style="1" customWidth="1"/>
    <col min="5371" max="5385" width="14.6640625" style="1" customWidth="1"/>
    <col min="5386" max="5625" width="8.83203125" style="1" customWidth="1"/>
    <col min="5626" max="5626" width="10.6640625" style="1" customWidth="1"/>
    <col min="5627" max="5641" width="14.6640625" style="1" customWidth="1"/>
    <col min="5642" max="5881" width="8.83203125" style="1" customWidth="1"/>
    <col min="5882" max="5882" width="10.6640625" style="1" customWidth="1"/>
    <col min="5883" max="5897" width="14.6640625" style="1" customWidth="1"/>
    <col min="5898" max="6137" width="8.83203125" style="1" customWidth="1"/>
    <col min="6138" max="6138" width="10.6640625" style="1" customWidth="1"/>
    <col min="6139" max="6153" width="14.6640625" style="1" customWidth="1"/>
    <col min="6154" max="6393" width="8.83203125" style="1" customWidth="1"/>
    <col min="6394" max="6394" width="10.6640625" style="1" customWidth="1"/>
    <col min="6395" max="6409" width="14.6640625" style="1" customWidth="1"/>
    <col min="6410" max="6649" width="8.83203125" style="1" customWidth="1"/>
    <col min="6650" max="6650" width="10.6640625" style="1" customWidth="1"/>
    <col min="6651" max="6665" width="14.6640625" style="1" customWidth="1"/>
    <col min="6666" max="6905" width="8.83203125" style="1" customWidth="1"/>
    <col min="6906" max="6906" width="10.6640625" style="1" customWidth="1"/>
    <col min="6907" max="6921" width="14.6640625" style="1" customWidth="1"/>
    <col min="6922" max="7161" width="8.83203125" style="1" customWidth="1"/>
    <col min="7162" max="7162" width="10.6640625" style="1" customWidth="1"/>
    <col min="7163" max="7177" width="14.6640625" style="1" customWidth="1"/>
    <col min="7178" max="7417" width="8.83203125" style="1" customWidth="1"/>
    <col min="7418" max="7418" width="10.6640625" style="1" customWidth="1"/>
    <col min="7419" max="7433" width="14.6640625" style="1" customWidth="1"/>
    <col min="7434" max="7673" width="8.83203125" style="1" customWidth="1"/>
    <col min="7674" max="7674" width="10.6640625" style="1" customWidth="1"/>
    <col min="7675" max="7689" width="14.6640625" style="1" customWidth="1"/>
    <col min="7690" max="7929" width="8.83203125" style="1" customWidth="1"/>
    <col min="7930" max="7930" width="10.6640625" style="1" customWidth="1"/>
    <col min="7931" max="7945" width="14.6640625" style="1" customWidth="1"/>
    <col min="7946" max="8185" width="8.83203125" style="1" customWidth="1"/>
    <col min="8186" max="8186" width="10.6640625" style="1" customWidth="1"/>
    <col min="8187" max="8201" width="14.6640625" style="1" customWidth="1"/>
    <col min="8202" max="8441" width="8.83203125" style="1" customWidth="1"/>
    <col min="8442" max="8442" width="10.6640625" style="1" customWidth="1"/>
    <col min="8443" max="8457" width="14.6640625" style="1" customWidth="1"/>
    <col min="8458" max="8697" width="8.83203125" style="1" customWidth="1"/>
    <col min="8698" max="8698" width="10.6640625" style="1" customWidth="1"/>
    <col min="8699" max="8713" width="14.6640625" style="1" customWidth="1"/>
    <col min="8714" max="8953" width="8.83203125" style="1" customWidth="1"/>
    <col min="8954" max="8954" width="10.6640625" style="1" customWidth="1"/>
    <col min="8955" max="8969" width="14.6640625" style="1" customWidth="1"/>
    <col min="8970" max="9209" width="8.83203125" style="1" customWidth="1"/>
    <col min="9210" max="9210" width="10.6640625" style="1" customWidth="1"/>
    <col min="9211" max="9225" width="14.6640625" style="1" customWidth="1"/>
    <col min="9226" max="9465" width="8.83203125" style="1" customWidth="1"/>
    <col min="9466" max="9466" width="10.6640625" style="1" customWidth="1"/>
    <col min="9467" max="9481" width="14.6640625" style="1" customWidth="1"/>
    <col min="9482" max="9721" width="8.83203125" style="1" customWidth="1"/>
    <col min="9722" max="9722" width="10.6640625" style="1" customWidth="1"/>
    <col min="9723" max="9737" width="14.6640625" style="1" customWidth="1"/>
    <col min="9738" max="9977" width="8.83203125" style="1" customWidth="1"/>
    <col min="9978" max="9978" width="10.6640625" style="1" customWidth="1"/>
    <col min="9979" max="9993" width="14.6640625" style="1" customWidth="1"/>
    <col min="9994" max="10233" width="8.83203125" style="1" customWidth="1"/>
    <col min="10234" max="10234" width="10.6640625" style="1" customWidth="1"/>
    <col min="10235" max="10249" width="14.6640625" style="1" customWidth="1"/>
    <col min="10250" max="10489" width="8.83203125" style="1" customWidth="1"/>
    <col min="10490" max="10490" width="10.6640625" style="1" customWidth="1"/>
    <col min="10491" max="10505" width="14.6640625" style="1" customWidth="1"/>
    <col min="10506" max="10745" width="8.83203125" style="1" customWidth="1"/>
    <col min="10746" max="10746" width="10.6640625" style="1" customWidth="1"/>
    <col min="10747" max="10761" width="14.6640625" style="1" customWidth="1"/>
    <col min="10762" max="11001" width="8.83203125" style="1" customWidth="1"/>
    <col min="11002" max="11002" width="10.6640625" style="1" customWidth="1"/>
    <col min="11003" max="11017" width="14.6640625" style="1" customWidth="1"/>
    <col min="11018" max="11257" width="8.83203125" style="1" customWidth="1"/>
    <col min="11258" max="11258" width="10.6640625" style="1" customWidth="1"/>
    <col min="11259" max="11273" width="14.6640625" style="1" customWidth="1"/>
    <col min="11274" max="11513" width="8.83203125" style="1" customWidth="1"/>
    <col min="11514" max="11514" width="10.6640625" style="1" customWidth="1"/>
    <col min="11515" max="11529" width="14.6640625" style="1" customWidth="1"/>
    <col min="11530" max="11769" width="8.83203125" style="1" customWidth="1"/>
    <col min="11770" max="11770" width="10.6640625" style="1" customWidth="1"/>
    <col min="11771" max="11785" width="14.6640625" style="1" customWidth="1"/>
    <col min="11786" max="12025" width="8.83203125" style="1" customWidth="1"/>
    <col min="12026" max="12026" width="10.6640625" style="1" customWidth="1"/>
    <col min="12027" max="12041" width="14.6640625" style="1" customWidth="1"/>
    <col min="12042" max="12281" width="8.83203125" style="1" customWidth="1"/>
    <col min="12282" max="12282" width="10.6640625" style="1" customWidth="1"/>
    <col min="12283" max="12297" width="14.6640625" style="1" customWidth="1"/>
    <col min="12298" max="12537" width="8.83203125" style="1" customWidth="1"/>
    <col min="12538" max="12538" width="10.6640625" style="1" customWidth="1"/>
    <col min="12539" max="12553" width="14.6640625" style="1" customWidth="1"/>
    <col min="12554" max="12793" width="8.83203125" style="1" customWidth="1"/>
    <col min="12794" max="12794" width="10.6640625" style="1" customWidth="1"/>
    <col min="12795" max="12809" width="14.6640625" style="1" customWidth="1"/>
    <col min="12810" max="13049" width="8.83203125" style="1" customWidth="1"/>
    <col min="13050" max="13050" width="10.6640625" style="1" customWidth="1"/>
    <col min="13051" max="13065" width="14.6640625" style="1" customWidth="1"/>
    <col min="13066" max="13305" width="8.83203125" style="1" customWidth="1"/>
    <col min="13306" max="13306" width="10.6640625" style="1" customWidth="1"/>
    <col min="13307" max="13321" width="14.6640625" style="1" customWidth="1"/>
    <col min="13322" max="13561" width="8.83203125" style="1" customWidth="1"/>
    <col min="13562" max="13562" width="10.6640625" style="1" customWidth="1"/>
    <col min="13563" max="13577" width="14.6640625" style="1" customWidth="1"/>
    <col min="13578" max="13817" width="8.83203125" style="1" customWidth="1"/>
    <col min="13818" max="13818" width="10.6640625" style="1" customWidth="1"/>
    <col min="13819" max="13833" width="14.6640625" style="1" customWidth="1"/>
    <col min="13834" max="14073" width="8.83203125" style="1" customWidth="1"/>
    <col min="14074" max="14074" width="10.6640625" style="1" customWidth="1"/>
    <col min="14075" max="14089" width="14.6640625" style="1" customWidth="1"/>
    <col min="14090" max="14329" width="8.83203125" style="1" customWidth="1"/>
    <col min="14330" max="14330" width="10.6640625" style="1" customWidth="1"/>
    <col min="14331" max="14345" width="14.6640625" style="1" customWidth="1"/>
    <col min="14346" max="14585" width="8.83203125" style="1" customWidth="1"/>
    <col min="14586" max="14586" width="10.6640625" style="1" customWidth="1"/>
    <col min="14587" max="14601" width="14.6640625" style="1" customWidth="1"/>
    <col min="14602" max="14841" width="8.83203125" style="1" customWidth="1"/>
    <col min="14842" max="14842" width="10.6640625" style="1" customWidth="1"/>
    <col min="14843" max="14857" width="14.6640625" style="1" customWidth="1"/>
    <col min="14858" max="15097" width="8.83203125" style="1" customWidth="1"/>
    <col min="15098" max="15098" width="10.6640625" style="1" customWidth="1"/>
    <col min="15099" max="15113" width="14.6640625" style="1" customWidth="1"/>
    <col min="15114" max="15353" width="8.83203125" style="1" customWidth="1"/>
    <col min="15354" max="15354" width="10.6640625" style="1" customWidth="1"/>
    <col min="15355" max="15369" width="14.6640625" style="1" customWidth="1"/>
    <col min="15370" max="15609" width="8.83203125" style="1" customWidth="1"/>
    <col min="15610" max="15610" width="10.6640625" style="1" customWidth="1"/>
    <col min="15611" max="15625" width="14.6640625" style="1" customWidth="1"/>
    <col min="15626" max="15865" width="8.83203125" style="1" customWidth="1"/>
    <col min="15866" max="15866" width="10.6640625" style="1" customWidth="1"/>
    <col min="15867" max="15881" width="14.6640625" style="1" customWidth="1"/>
    <col min="15882" max="16121" width="8.83203125" style="1" customWidth="1"/>
    <col min="16122" max="16122" width="10.6640625" style="1" customWidth="1"/>
    <col min="16123" max="16137" width="14.6640625" style="1" customWidth="1"/>
    <col min="16138" max="16384" width="8.83203125" style="1" customWidth="1"/>
  </cols>
  <sheetData>
    <row r="1" spans="1:9" x14ac:dyDescent="0.15">
      <c r="A1" s="4" t="s">
        <v>1</v>
      </c>
    </row>
    <row r="2" spans="1:9" ht="51" x14ac:dyDescent="0.15">
      <c r="A2" s="14" t="s">
        <v>5</v>
      </c>
      <c r="B2" s="28" t="s">
        <v>16</v>
      </c>
      <c r="C2" s="28"/>
      <c r="D2" s="28"/>
      <c r="E2" s="28"/>
      <c r="F2" s="28"/>
      <c r="G2" s="28"/>
      <c r="H2" s="28"/>
      <c r="I2" s="28"/>
    </row>
    <row r="3" spans="1:9" ht="80" customHeight="1" x14ac:dyDescent="0.15">
      <c r="A3" s="2" t="s">
        <v>0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29</v>
      </c>
      <c r="G3" s="2" t="s">
        <v>22</v>
      </c>
      <c r="H3" s="2" t="s">
        <v>23</v>
      </c>
      <c r="I3" s="2" t="s">
        <v>30</v>
      </c>
    </row>
    <row r="4" spans="1:9" x14ac:dyDescent="0.15">
      <c r="A4" s="3">
        <v>1835</v>
      </c>
      <c r="B4" s="24">
        <f>SUM(C4:I4)</f>
        <v>6</v>
      </c>
      <c r="C4" s="19"/>
      <c r="D4" s="19"/>
      <c r="E4" s="19">
        <v>6</v>
      </c>
      <c r="F4" s="19"/>
      <c r="G4" s="19"/>
      <c r="H4" s="19"/>
      <c r="I4" s="19"/>
    </row>
    <row r="5" spans="1:9" x14ac:dyDescent="0.15">
      <c r="A5" s="3">
        <v>1836</v>
      </c>
      <c r="B5" s="24">
        <f t="shared" ref="B5:B68" si="0">SUM(C5:I5)</f>
        <v>0</v>
      </c>
      <c r="C5" s="19"/>
      <c r="D5" s="19"/>
      <c r="E5" s="19">
        <v>0</v>
      </c>
      <c r="F5" s="19"/>
      <c r="G5" s="19"/>
      <c r="H5" s="19"/>
      <c r="I5" s="19"/>
    </row>
    <row r="6" spans="1:9" x14ac:dyDescent="0.15">
      <c r="A6" s="3">
        <v>1837</v>
      </c>
      <c r="B6" s="24">
        <f t="shared" si="0"/>
        <v>0</v>
      </c>
      <c r="C6" s="19"/>
      <c r="D6" s="19"/>
      <c r="E6" s="19">
        <v>0</v>
      </c>
      <c r="F6" s="19"/>
      <c r="G6" s="19"/>
      <c r="H6" s="19"/>
      <c r="I6" s="19"/>
    </row>
    <row r="7" spans="1:9" x14ac:dyDescent="0.15">
      <c r="A7" s="3">
        <v>1838</v>
      </c>
      <c r="B7" s="24">
        <f t="shared" si="0"/>
        <v>0</v>
      </c>
      <c r="C7" s="19"/>
      <c r="D7" s="19"/>
      <c r="E7" s="19">
        <v>0</v>
      </c>
      <c r="F7" s="19"/>
      <c r="G7" s="19"/>
      <c r="H7" s="19"/>
      <c r="I7" s="19"/>
    </row>
    <row r="8" spans="1:9" x14ac:dyDescent="0.15">
      <c r="A8" s="3">
        <v>1839</v>
      </c>
      <c r="B8" s="24">
        <f t="shared" si="0"/>
        <v>8</v>
      </c>
      <c r="C8" s="19"/>
      <c r="D8" s="19"/>
      <c r="E8" s="19">
        <v>8</v>
      </c>
      <c r="F8" s="19"/>
      <c r="G8" s="19"/>
      <c r="H8" s="19"/>
      <c r="I8" s="19"/>
    </row>
    <row r="9" spans="1:9" x14ac:dyDescent="0.15">
      <c r="A9" s="3">
        <v>1840</v>
      </c>
      <c r="B9" s="24">
        <f t="shared" si="0"/>
        <v>0</v>
      </c>
      <c r="C9" s="19"/>
      <c r="D9" s="19"/>
      <c r="E9" s="19">
        <v>0</v>
      </c>
      <c r="F9" s="19"/>
      <c r="G9" s="19"/>
      <c r="H9" s="19"/>
      <c r="I9" s="19"/>
    </row>
    <row r="10" spans="1:9" x14ac:dyDescent="0.15">
      <c r="A10" s="3">
        <v>1841</v>
      </c>
      <c r="B10" s="24">
        <f t="shared" si="0"/>
        <v>0</v>
      </c>
      <c r="C10" s="19"/>
      <c r="D10" s="19"/>
      <c r="E10" s="19">
        <v>0</v>
      </c>
      <c r="F10" s="19"/>
      <c r="G10" s="19"/>
      <c r="H10" s="19"/>
      <c r="I10" s="19"/>
    </row>
    <row r="11" spans="1:9" x14ac:dyDescent="0.15">
      <c r="A11" s="3">
        <v>1842</v>
      </c>
      <c r="B11" s="24">
        <f t="shared" si="0"/>
        <v>0</v>
      </c>
      <c r="C11" s="19"/>
      <c r="D11" s="19"/>
      <c r="E11" s="19">
        <v>0</v>
      </c>
      <c r="F11" s="19"/>
      <c r="G11" s="19"/>
      <c r="H11" s="19"/>
      <c r="I11" s="19"/>
    </row>
    <row r="12" spans="1:9" x14ac:dyDescent="0.15">
      <c r="A12" s="3">
        <v>1843</v>
      </c>
      <c r="B12" s="24">
        <f t="shared" si="0"/>
        <v>0</v>
      </c>
      <c r="C12" s="19"/>
      <c r="D12" s="19"/>
      <c r="E12" s="19">
        <v>0</v>
      </c>
      <c r="F12" s="19"/>
      <c r="G12" s="19"/>
      <c r="H12" s="19"/>
      <c r="I12" s="19"/>
    </row>
    <row r="13" spans="1:9" x14ac:dyDescent="0.15">
      <c r="A13" s="3">
        <v>1844</v>
      </c>
      <c r="B13" s="24">
        <f t="shared" si="0"/>
        <v>0</v>
      </c>
      <c r="C13" s="19"/>
      <c r="D13" s="19"/>
      <c r="E13" s="19">
        <v>0</v>
      </c>
      <c r="F13" s="19"/>
      <c r="G13" s="19"/>
      <c r="H13" s="19"/>
      <c r="I13" s="19"/>
    </row>
    <row r="14" spans="1:9" x14ac:dyDescent="0.15">
      <c r="A14" s="3">
        <v>1845</v>
      </c>
      <c r="B14" s="24">
        <f t="shared" si="0"/>
        <v>0</v>
      </c>
      <c r="C14" s="19"/>
      <c r="D14" s="19"/>
      <c r="E14" s="19">
        <v>0</v>
      </c>
      <c r="F14" s="19"/>
      <c r="G14" s="19"/>
      <c r="H14" s="19"/>
      <c r="I14" s="19"/>
    </row>
    <row r="15" spans="1:9" x14ac:dyDescent="0.15">
      <c r="A15" s="3">
        <v>1846</v>
      </c>
      <c r="B15" s="24">
        <f t="shared" si="0"/>
        <v>13.333333</v>
      </c>
      <c r="C15" s="19"/>
      <c r="D15" s="19"/>
      <c r="E15" s="19">
        <v>13.333333</v>
      </c>
      <c r="F15" s="19"/>
      <c r="G15" s="19"/>
      <c r="H15" s="19"/>
      <c r="I15" s="19"/>
    </row>
    <row r="16" spans="1:9" x14ac:dyDescent="0.15">
      <c r="A16" s="3">
        <v>1847</v>
      </c>
      <c r="B16" s="24">
        <f t="shared" si="0"/>
        <v>0</v>
      </c>
      <c r="C16" s="19"/>
      <c r="D16" s="19"/>
      <c r="E16" s="19">
        <v>0</v>
      </c>
      <c r="F16" s="19"/>
      <c r="G16" s="19"/>
      <c r="H16" s="19"/>
      <c r="I16" s="19"/>
    </row>
    <row r="17" spans="1:9" x14ac:dyDescent="0.15">
      <c r="A17" s="3">
        <v>1848</v>
      </c>
      <c r="B17" s="24">
        <f t="shared" si="0"/>
        <v>0</v>
      </c>
      <c r="C17" s="19"/>
      <c r="D17" s="19"/>
      <c r="E17" s="19">
        <v>0</v>
      </c>
      <c r="F17" s="19"/>
      <c r="G17" s="19"/>
      <c r="H17" s="19"/>
      <c r="I17" s="19"/>
    </row>
    <row r="18" spans="1:9" x14ac:dyDescent="0.15">
      <c r="A18" s="3">
        <v>1849</v>
      </c>
      <c r="B18" s="24">
        <f t="shared" si="0"/>
        <v>6.9416660000000006</v>
      </c>
      <c r="C18" s="19"/>
      <c r="D18" s="19">
        <v>0.27500000000000002</v>
      </c>
      <c r="E18" s="19">
        <v>6.6666660000000002</v>
      </c>
      <c r="F18" s="19"/>
      <c r="G18" s="19"/>
      <c r="H18" s="19"/>
      <c r="I18" s="19"/>
    </row>
    <row r="19" spans="1:9" x14ac:dyDescent="0.15">
      <c r="A19" s="3">
        <v>1850</v>
      </c>
      <c r="B19" s="24">
        <f t="shared" si="0"/>
        <v>1.8718999999999999</v>
      </c>
      <c r="C19" s="19"/>
      <c r="D19" s="19"/>
      <c r="E19" s="19">
        <v>1.8718999999999999</v>
      </c>
      <c r="F19" s="19"/>
      <c r="G19" s="19"/>
      <c r="H19" s="19"/>
      <c r="I19" s="19"/>
    </row>
    <row r="20" spans="1:9" x14ac:dyDescent="0.15">
      <c r="A20" s="3">
        <v>1851</v>
      </c>
      <c r="B20" s="24">
        <f t="shared" si="0"/>
        <v>17.733332999999998</v>
      </c>
      <c r="C20" s="19"/>
      <c r="D20" s="19"/>
      <c r="E20" s="19">
        <v>17.733332999999998</v>
      </c>
      <c r="F20" s="19"/>
      <c r="G20" s="19"/>
      <c r="H20" s="19"/>
      <c r="I20" s="19"/>
    </row>
    <row r="21" spans="1:9" x14ac:dyDescent="0.15">
      <c r="A21" s="3">
        <v>1852</v>
      </c>
      <c r="B21" s="24">
        <f t="shared" si="0"/>
        <v>14.838666</v>
      </c>
      <c r="C21" s="19"/>
      <c r="D21" s="19"/>
      <c r="E21" s="19">
        <v>14.838666</v>
      </c>
      <c r="F21" s="19"/>
      <c r="G21" s="19"/>
      <c r="H21" s="19"/>
      <c r="I21" s="19"/>
    </row>
    <row r="22" spans="1:9" x14ac:dyDescent="0.15">
      <c r="A22" s="3">
        <v>1853</v>
      </c>
      <c r="B22" s="24">
        <f t="shared" si="0"/>
        <v>0</v>
      </c>
      <c r="C22" s="19"/>
      <c r="D22" s="19"/>
      <c r="E22" s="19">
        <v>0</v>
      </c>
      <c r="F22" s="19"/>
      <c r="G22" s="19"/>
      <c r="H22" s="19"/>
      <c r="I22" s="19"/>
    </row>
    <row r="23" spans="1:9" x14ac:dyDescent="0.15">
      <c r="A23" s="3">
        <v>1854</v>
      </c>
      <c r="B23" s="24">
        <f t="shared" si="0"/>
        <v>13.187800000000001</v>
      </c>
      <c r="C23" s="19">
        <v>0.28189999999999998</v>
      </c>
      <c r="D23" s="19"/>
      <c r="E23" s="19">
        <v>12.905900000000001</v>
      </c>
      <c r="F23" s="19"/>
      <c r="G23" s="19"/>
      <c r="H23" s="19"/>
      <c r="I23" s="19"/>
    </row>
    <row r="24" spans="1:9" x14ac:dyDescent="0.15">
      <c r="A24" s="3">
        <v>1855</v>
      </c>
      <c r="B24" s="24">
        <f t="shared" si="0"/>
        <v>1</v>
      </c>
      <c r="C24" s="19"/>
      <c r="D24" s="19"/>
      <c r="E24" s="19">
        <v>0</v>
      </c>
      <c r="F24" s="19">
        <v>0.5</v>
      </c>
      <c r="G24" s="19"/>
      <c r="H24" s="19"/>
      <c r="I24" s="19">
        <v>0.5</v>
      </c>
    </row>
    <row r="25" spans="1:9" x14ac:dyDescent="0.15">
      <c r="A25" s="3">
        <v>1856</v>
      </c>
      <c r="B25" s="24">
        <f t="shared" si="0"/>
        <v>0.5</v>
      </c>
      <c r="C25" s="19"/>
      <c r="D25" s="19"/>
      <c r="E25" s="19">
        <v>0</v>
      </c>
      <c r="F25" s="19">
        <v>0.25</v>
      </c>
      <c r="G25" s="19"/>
      <c r="H25" s="19"/>
      <c r="I25" s="19">
        <v>0.25</v>
      </c>
    </row>
    <row r="26" spans="1:9" x14ac:dyDescent="0.15">
      <c r="A26" s="3">
        <v>1857</v>
      </c>
      <c r="B26" s="24">
        <f t="shared" si="0"/>
        <v>0</v>
      </c>
      <c r="C26" s="19"/>
      <c r="D26" s="19"/>
      <c r="E26" s="19">
        <v>0</v>
      </c>
      <c r="F26" s="19">
        <v>0</v>
      </c>
      <c r="G26" s="19"/>
      <c r="H26" s="19"/>
      <c r="I26" s="19"/>
    </row>
    <row r="27" spans="1:9" x14ac:dyDescent="0.15">
      <c r="A27" s="3">
        <v>1858</v>
      </c>
      <c r="B27" s="24">
        <f t="shared" si="0"/>
        <v>38.701566670000005</v>
      </c>
      <c r="C27" s="19">
        <v>21.8413</v>
      </c>
      <c r="D27" s="19">
        <v>0.1</v>
      </c>
      <c r="E27" s="19">
        <v>16.620266669999999</v>
      </c>
      <c r="F27" s="19">
        <v>7.0000000000000007E-2</v>
      </c>
      <c r="G27" s="19"/>
      <c r="H27" s="19">
        <v>7.0000000000000007E-2</v>
      </c>
      <c r="I27" s="19"/>
    </row>
    <row r="28" spans="1:9" x14ac:dyDescent="0.15">
      <c r="A28" s="3">
        <v>1859</v>
      </c>
      <c r="B28" s="24">
        <f t="shared" si="0"/>
        <v>1.3582000000000001</v>
      </c>
      <c r="C28" s="19"/>
      <c r="D28" s="19">
        <v>7.0000000000000007E-2</v>
      </c>
      <c r="E28" s="19">
        <v>1.2882</v>
      </c>
      <c r="F28" s="19">
        <v>0</v>
      </c>
      <c r="G28" s="19"/>
      <c r="H28" s="19"/>
      <c r="I28" s="19"/>
    </row>
    <row r="29" spans="1:9" x14ac:dyDescent="0.15">
      <c r="A29" s="3">
        <v>1860</v>
      </c>
      <c r="B29" s="24">
        <f t="shared" si="0"/>
        <v>32.580033329999999</v>
      </c>
      <c r="C29" s="19">
        <v>26.666699999999999</v>
      </c>
      <c r="D29" s="19">
        <v>0.57999999999999996</v>
      </c>
      <c r="E29" s="19">
        <v>5.3333333300000003</v>
      </c>
      <c r="F29" s="19">
        <v>0</v>
      </c>
      <c r="G29" s="19"/>
      <c r="H29" s="19"/>
      <c r="I29" s="19"/>
    </row>
    <row r="30" spans="1:9" x14ac:dyDescent="0.15">
      <c r="A30" s="3">
        <v>1861</v>
      </c>
      <c r="B30" s="24">
        <f t="shared" si="0"/>
        <v>54.148266669999998</v>
      </c>
      <c r="C30" s="19">
        <v>3</v>
      </c>
      <c r="D30" s="19">
        <v>4.16</v>
      </c>
      <c r="E30" s="19">
        <v>43.188266670000004</v>
      </c>
      <c r="F30" s="19">
        <v>1.9</v>
      </c>
      <c r="G30" s="19"/>
      <c r="H30" s="19">
        <v>1.9</v>
      </c>
      <c r="I30" s="19"/>
    </row>
    <row r="31" spans="1:9" x14ac:dyDescent="0.15">
      <c r="A31" s="3">
        <v>1862</v>
      </c>
      <c r="B31" s="24">
        <f t="shared" si="0"/>
        <v>41.050599999999996</v>
      </c>
      <c r="C31" s="19"/>
      <c r="D31" s="19">
        <v>0.245</v>
      </c>
      <c r="E31" s="19">
        <v>31.805599999999998</v>
      </c>
      <c r="F31" s="19">
        <v>4.5</v>
      </c>
      <c r="G31" s="19">
        <v>1.5</v>
      </c>
      <c r="H31" s="19">
        <v>3</v>
      </c>
      <c r="I31" s="19"/>
    </row>
    <row r="32" spans="1:9" x14ac:dyDescent="0.15">
      <c r="A32" s="3">
        <v>1863</v>
      </c>
      <c r="B32" s="24">
        <f t="shared" si="0"/>
        <v>5.35</v>
      </c>
      <c r="C32" s="19">
        <v>3</v>
      </c>
      <c r="D32" s="19">
        <v>0.35</v>
      </c>
      <c r="E32" s="19">
        <v>0</v>
      </c>
      <c r="F32" s="19">
        <v>1</v>
      </c>
      <c r="G32" s="19"/>
      <c r="H32" s="19">
        <v>1</v>
      </c>
      <c r="I32" s="19"/>
    </row>
    <row r="33" spans="1:9" x14ac:dyDescent="0.15">
      <c r="A33" s="3">
        <v>1864</v>
      </c>
      <c r="B33" s="24">
        <f t="shared" si="0"/>
        <v>40.841559999999994</v>
      </c>
      <c r="C33" s="19">
        <v>9.8914600000000004</v>
      </c>
      <c r="D33" s="19">
        <v>0.94</v>
      </c>
      <c r="E33" s="19">
        <v>29.4101</v>
      </c>
      <c r="F33" s="19">
        <v>0.3</v>
      </c>
      <c r="G33" s="19"/>
      <c r="H33" s="19">
        <v>0.3</v>
      </c>
      <c r="I33" s="19"/>
    </row>
    <row r="34" spans="1:9" x14ac:dyDescent="0.15">
      <c r="A34" s="3">
        <v>1865</v>
      </c>
      <c r="B34" s="24">
        <f t="shared" si="0"/>
        <v>4.5750000000000002</v>
      </c>
      <c r="C34" s="19"/>
      <c r="D34" s="19">
        <v>4.5750000000000002</v>
      </c>
      <c r="E34" s="19">
        <v>0</v>
      </c>
      <c r="F34" s="19">
        <v>0</v>
      </c>
      <c r="G34" s="19"/>
      <c r="H34" s="19"/>
      <c r="I34" s="19"/>
    </row>
    <row r="35" spans="1:9" x14ac:dyDescent="0.15">
      <c r="A35" s="3">
        <v>1866</v>
      </c>
      <c r="B35" s="24">
        <f t="shared" si="0"/>
        <v>27.198100000000004</v>
      </c>
      <c r="C35" s="19">
        <v>26.4861</v>
      </c>
      <c r="D35" s="19">
        <v>0.5</v>
      </c>
      <c r="E35" s="19">
        <v>0</v>
      </c>
      <c r="F35" s="19">
        <v>0.106</v>
      </c>
      <c r="G35" s="19"/>
      <c r="H35" s="19">
        <v>0.106</v>
      </c>
      <c r="I35" s="19"/>
    </row>
    <row r="36" spans="1:9" x14ac:dyDescent="0.15">
      <c r="A36" s="3">
        <v>1867</v>
      </c>
      <c r="B36" s="24">
        <f t="shared" si="0"/>
        <v>7.120000000000001</v>
      </c>
      <c r="C36" s="19"/>
      <c r="D36" s="19">
        <v>3.82</v>
      </c>
      <c r="E36" s="19">
        <v>2.5</v>
      </c>
      <c r="F36" s="19">
        <v>0.4</v>
      </c>
      <c r="G36" s="19"/>
      <c r="H36" s="19">
        <v>0.4</v>
      </c>
      <c r="I36" s="19"/>
    </row>
    <row r="37" spans="1:9" x14ac:dyDescent="0.15">
      <c r="A37" s="3">
        <v>1868</v>
      </c>
      <c r="B37" s="24">
        <f t="shared" si="0"/>
        <v>31.318999999999999</v>
      </c>
      <c r="C37" s="19">
        <v>20.7</v>
      </c>
      <c r="D37" s="19">
        <v>0.61899999999999999</v>
      </c>
      <c r="E37" s="19">
        <v>10</v>
      </c>
      <c r="F37" s="19">
        <v>0</v>
      </c>
      <c r="G37" s="19"/>
      <c r="H37" s="19"/>
      <c r="I37" s="19"/>
    </row>
    <row r="38" spans="1:9" x14ac:dyDescent="0.15">
      <c r="A38" s="3">
        <v>1869</v>
      </c>
      <c r="B38" s="24">
        <f t="shared" si="0"/>
        <v>29.633499999999998</v>
      </c>
      <c r="C38" s="19">
        <v>4</v>
      </c>
      <c r="D38" s="19">
        <v>5.3334999999999999</v>
      </c>
      <c r="E38" s="19">
        <v>20</v>
      </c>
      <c r="F38" s="19">
        <v>0.15</v>
      </c>
      <c r="G38" s="19"/>
      <c r="H38" s="19">
        <v>0.15</v>
      </c>
      <c r="I38" s="19"/>
    </row>
    <row r="39" spans="1:9" x14ac:dyDescent="0.15">
      <c r="A39" s="3">
        <v>1870</v>
      </c>
      <c r="B39" s="24">
        <f t="shared" si="0"/>
        <v>40.340000000000003</v>
      </c>
      <c r="C39" s="19">
        <v>40</v>
      </c>
      <c r="D39" s="19">
        <v>0.34</v>
      </c>
      <c r="E39" s="19">
        <v>0</v>
      </c>
      <c r="F39" s="19">
        <v>0</v>
      </c>
      <c r="G39" s="19"/>
      <c r="H39" s="19"/>
      <c r="I39" s="19"/>
    </row>
    <row r="40" spans="1:9" x14ac:dyDescent="0.15">
      <c r="A40" s="3">
        <v>1871</v>
      </c>
      <c r="B40" s="24">
        <f t="shared" si="0"/>
        <v>43.909499999999994</v>
      </c>
      <c r="C40" s="19"/>
      <c r="D40" s="19">
        <v>2.0379999999999998</v>
      </c>
      <c r="E40" s="19">
        <v>36.271500000000003</v>
      </c>
      <c r="F40" s="19">
        <v>2.8</v>
      </c>
      <c r="G40" s="19"/>
      <c r="H40" s="19">
        <v>2.8</v>
      </c>
      <c r="I40" s="19"/>
    </row>
    <row r="41" spans="1:9" x14ac:dyDescent="0.15">
      <c r="A41" s="3">
        <v>1872</v>
      </c>
      <c r="B41" s="24">
        <f t="shared" si="0"/>
        <v>90.385900000000007</v>
      </c>
      <c r="C41" s="19">
        <v>24</v>
      </c>
      <c r="D41" s="19">
        <v>3.8679999999999999</v>
      </c>
      <c r="E41" s="19">
        <v>21.741099999999999</v>
      </c>
      <c r="F41" s="19">
        <v>20.388400000000001</v>
      </c>
      <c r="G41" s="19">
        <v>14.1884</v>
      </c>
      <c r="H41" s="19">
        <v>6.2</v>
      </c>
      <c r="I41" s="19"/>
    </row>
    <row r="42" spans="1:9" x14ac:dyDescent="0.15">
      <c r="A42" s="3">
        <v>1873</v>
      </c>
      <c r="B42" s="24">
        <f t="shared" si="0"/>
        <v>143.22500000000002</v>
      </c>
      <c r="C42" s="19"/>
      <c r="D42" s="19">
        <v>4.5650000000000004</v>
      </c>
      <c r="E42" s="19">
        <v>0</v>
      </c>
      <c r="F42" s="19">
        <v>69.33</v>
      </c>
      <c r="G42" s="19">
        <v>63.53</v>
      </c>
      <c r="H42" s="19">
        <v>5.8</v>
      </c>
      <c r="I42" s="19"/>
    </row>
    <row r="43" spans="1:9" x14ac:dyDescent="0.15">
      <c r="A43" s="3">
        <v>1874</v>
      </c>
      <c r="B43" s="24">
        <f t="shared" si="0"/>
        <v>85.017200000000003</v>
      </c>
      <c r="C43" s="20"/>
      <c r="D43" s="20">
        <v>2</v>
      </c>
      <c r="E43" s="20">
        <v>38.417200000000001</v>
      </c>
      <c r="F43" s="20">
        <v>22.3</v>
      </c>
      <c r="G43" s="20">
        <v>10</v>
      </c>
      <c r="H43" s="20">
        <v>6.3</v>
      </c>
      <c r="I43" s="20">
        <v>6</v>
      </c>
    </row>
    <row r="44" spans="1:9" x14ac:dyDescent="0.15">
      <c r="A44" s="3">
        <v>1875</v>
      </c>
      <c r="B44" s="24">
        <f t="shared" si="0"/>
        <v>60.249600000000001</v>
      </c>
      <c r="C44" s="20">
        <v>36.881599999999999</v>
      </c>
      <c r="D44" s="20">
        <v>2.66</v>
      </c>
      <c r="E44" s="20">
        <v>0</v>
      </c>
      <c r="F44" s="20">
        <v>10.353999999999999</v>
      </c>
      <c r="G44" s="20">
        <v>1.4339999999999999</v>
      </c>
      <c r="H44" s="20">
        <v>8.92</v>
      </c>
      <c r="I44" s="20"/>
    </row>
    <row r="45" spans="1:9" x14ac:dyDescent="0.15">
      <c r="A45" s="3">
        <v>1876</v>
      </c>
      <c r="B45" s="24">
        <f t="shared" si="0"/>
        <v>53.402000000000001</v>
      </c>
      <c r="C45" s="20">
        <v>36.619999999999997</v>
      </c>
      <c r="D45" s="20">
        <v>0.9</v>
      </c>
      <c r="E45" s="20">
        <v>0</v>
      </c>
      <c r="F45" s="20">
        <v>7.9409999999999998</v>
      </c>
      <c r="G45" s="20">
        <v>4.5</v>
      </c>
      <c r="H45" s="20">
        <v>3.4409999999999998</v>
      </c>
      <c r="I45" s="20"/>
    </row>
    <row r="46" spans="1:9" x14ac:dyDescent="0.15">
      <c r="A46" s="3">
        <v>1877</v>
      </c>
      <c r="B46" s="24">
        <f t="shared" si="0"/>
        <v>45.565700000000007</v>
      </c>
      <c r="C46" s="20"/>
      <c r="D46" s="20">
        <v>11.077</v>
      </c>
      <c r="E46" s="20">
        <v>22.2287</v>
      </c>
      <c r="F46" s="20">
        <v>6.13</v>
      </c>
      <c r="G46" s="20">
        <v>0.25</v>
      </c>
      <c r="H46" s="20">
        <v>5.88</v>
      </c>
      <c r="I46" s="20"/>
    </row>
    <row r="47" spans="1:9" x14ac:dyDescent="0.15">
      <c r="A47" s="3">
        <v>1878</v>
      </c>
      <c r="B47" s="24">
        <f t="shared" si="0"/>
        <v>156.95293332999998</v>
      </c>
      <c r="C47" s="20">
        <v>27.24</v>
      </c>
      <c r="D47" s="20">
        <v>2.8660000000000001</v>
      </c>
      <c r="E47" s="20">
        <v>117.80693332999999</v>
      </c>
      <c r="F47" s="20">
        <v>4.5199999999999996</v>
      </c>
      <c r="G47" s="20">
        <v>2.2000000000000002</v>
      </c>
      <c r="H47" s="20">
        <v>2.2000000000000002</v>
      </c>
      <c r="I47" s="20">
        <v>0.12</v>
      </c>
    </row>
    <row r="48" spans="1:9" x14ac:dyDescent="0.15">
      <c r="A48" s="3">
        <v>1879</v>
      </c>
      <c r="B48" s="24">
        <f t="shared" si="0"/>
        <v>97.243799999999993</v>
      </c>
      <c r="C48" s="20">
        <v>9</v>
      </c>
      <c r="D48" s="20">
        <v>4.93</v>
      </c>
      <c r="E48" s="20">
        <v>76.343800000000002</v>
      </c>
      <c r="F48" s="20">
        <v>3.4849999999999999</v>
      </c>
      <c r="G48" s="20">
        <v>3.25</v>
      </c>
      <c r="H48" s="20">
        <v>0.23499999999999999</v>
      </c>
      <c r="I48" s="20"/>
    </row>
    <row r="49" spans="1:9" x14ac:dyDescent="0.15">
      <c r="A49" s="3">
        <v>1880</v>
      </c>
      <c r="B49" s="24">
        <f t="shared" si="0"/>
        <v>232.54561110999995</v>
      </c>
      <c r="C49" s="20">
        <v>118.746</v>
      </c>
      <c r="D49" s="20">
        <v>26.81</v>
      </c>
      <c r="E49" s="20">
        <v>82.107611109999993</v>
      </c>
      <c r="F49" s="20">
        <v>2.4409999999999998</v>
      </c>
      <c r="G49" s="20">
        <v>0.85599999999999998</v>
      </c>
      <c r="H49" s="20">
        <v>1.575</v>
      </c>
      <c r="I49" s="20">
        <v>0.01</v>
      </c>
    </row>
    <row r="50" spans="1:9" x14ac:dyDescent="0.15">
      <c r="A50" s="3">
        <v>1881</v>
      </c>
      <c r="B50" s="24">
        <f t="shared" si="0"/>
        <v>28.682299999999998</v>
      </c>
      <c r="C50" s="20"/>
      <c r="D50" s="20">
        <v>6.4850000000000003</v>
      </c>
      <c r="E50" s="20">
        <v>11.997299999999999</v>
      </c>
      <c r="F50" s="20">
        <v>5.0999999999999996</v>
      </c>
      <c r="G50" s="20">
        <v>1.8</v>
      </c>
      <c r="H50" s="20">
        <v>3.3</v>
      </c>
      <c r="I50" s="20"/>
    </row>
    <row r="51" spans="1:9" x14ac:dyDescent="0.15">
      <c r="A51" s="3">
        <v>1882</v>
      </c>
      <c r="B51" s="24">
        <f t="shared" si="0"/>
        <v>33.9</v>
      </c>
      <c r="C51" s="20"/>
      <c r="D51" s="20">
        <v>2.34</v>
      </c>
      <c r="E51" s="20">
        <v>13.5</v>
      </c>
      <c r="F51" s="20">
        <v>9.0299999999999994</v>
      </c>
      <c r="G51" s="20">
        <v>6.41</v>
      </c>
      <c r="H51" s="20">
        <v>2.62</v>
      </c>
      <c r="I51" s="20"/>
    </row>
    <row r="52" spans="1:9" x14ac:dyDescent="0.15">
      <c r="A52" s="3">
        <v>1883</v>
      </c>
      <c r="B52" s="24">
        <f t="shared" si="0"/>
        <v>68.210799999999992</v>
      </c>
      <c r="C52" s="20"/>
      <c r="D52" s="20">
        <v>4.0970000000000004</v>
      </c>
      <c r="E52" s="20">
        <v>53.893799999999999</v>
      </c>
      <c r="F52" s="20">
        <v>5.1100000000000003</v>
      </c>
      <c r="G52" s="20">
        <v>2.31</v>
      </c>
      <c r="H52" s="20">
        <v>2.8</v>
      </c>
      <c r="I52" s="20"/>
    </row>
    <row r="53" spans="1:9" x14ac:dyDescent="0.15">
      <c r="A53" s="3">
        <v>1884</v>
      </c>
      <c r="B53" s="24">
        <f t="shared" si="0"/>
        <v>7.1150000000000002</v>
      </c>
      <c r="C53" s="20"/>
      <c r="D53" s="20">
        <v>3.8149999999999999</v>
      </c>
      <c r="E53" s="20">
        <v>0</v>
      </c>
      <c r="F53" s="20">
        <v>1.65</v>
      </c>
      <c r="G53" s="20"/>
      <c r="H53" s="20">
        <v>1.45</v>
      </c>
      <c r="I53" s="20">
        <v>0.2</v>
      </c>
    </row>
    <row r="54" spans="1:9" x14ac:dyDescent="0.15">
      <c r="A54" s="3">
        <v>1885</v>
      </c>
      <c r="B54" s="24">
        <f t="shared" si="0"/>
        <v>47.057000000000002</v>
      </c>
      <c r="C54" s="20"/>
      <c r="D54" s="20">
        <v>25</v>
      </c>
      <c r="E54" s="20">
        <v>8.1969999999999992</v>
      </c>
      <c r="F54" s="20">
        <v>6.93</v>
      </c>
      <c r="G54" s="20">
        <v>4.4000000000000004</v>
      </c>
      <c r="H54" s="20">
        <v>2.35</v>
      </c>
      <c r="I54" s="20">
        <v>0.18</v>
      </c>
    </row>
    <row r="55" spans="1:9" x14ac:dyDescent="0.15">
      <c r="A55" s="3">
        <v>1886</v>
      </c>
      <c r="B55" s="24">
        <f t="shared" si="0"/>
        <v>138.18660000000003</v>
      </c>
      <c r="C55" s="20">
        <v>64.546199999999999</v>
      </c>
      <c r="D55" s="20">
        <v>4.84</v>
      </c>
      <c r="E55" s="20">
        <v>60.330399999999997</v>
      </c>
      <c r="F55" s="20">
        <v>4.2350000000000003</v>
      </c>
      <c r="G55" s="20">
        <v>2.125</v>
      </c>
      <c r="H55" s="20">
        <v>2.11</v>
      </c>
      <c r="I55" s="20"/>
    </row>
    <row r="56" spans="1:9" x14ac:dyDescent="0.15">
      <c r="A56" s="3">
        <v>1887</v>
      </c>
      <c r="B56" s="24">
        <f t="shared" si="0"/>
        <v>129.28289999999998</v>
      </c>
      <c r="C56" s="20">
        <v>85.143900000000002</v>
      </c>
      <c r="D56" s="20">
        <v>28.439</v>
      </c>
      <c r="E56" s="20">
        <v>6</v>
      </c>
      <c r="F56" s="20">
        <v>4.8499999999999996</v>
      </c>
      <c r="G56" s="20"/>
      <c r="H56" s="20">
        <v>4.8499999999999996</v>
      </c>
      <c r="I56" s="20"/>
    </row>
    <row r="57" spans="1:9" x14ac:dyDescent="0.15">
      <c r="A57" s="3">
        <v>1888</v>
      </c>
      <c r="B57" s="24">
        <f t="shared" si="0"/>
        <v>49.933100000000003</v>
      </c>
      <c r="C57" s="20">
        <v>26.666699999999999</v>
      </c>
      <c r="D57" s="20">
        <v>1.4450000000000001</v>
      </c>
      <c r="E57" s="20">
        <v>14.561400000000001</v>
      </c>
      <c r="F57" s="20">
        <v>3.63</v>
      </c>
      <c r="G57" s="20">
        <v>3.33</v>
      </c>
      <c r="H57" s="20">
        <v>0.2</v>
      </c>
      <c r="I57" s="20">
        <v>0.1</v>
      </c>
    </row>
    <row r="58" spans="1:9" x14ac:dyDescent="0.15">
      <c r="A58" s="3">
        <v>1889</v>
      </c>
      <c r="B58" s="24">
        <f t="shared" si="0"/>
        <v>106.48530000000001</v>
      </c>
      <c r="C58" s="20"/>
      <c r="D58" s="20">
        <v>3.5950000000000002</v>
      </c>
      <c r="E58" s="20">
        <v>28.240300000000001</v>
      </c>
      <c r="F58" s="20">
        <v>37.325000000000003</v>
      </c>
      <c r="G58" s="20">
        <v>6.25</v>
      </c>
      <c r="H58" s="20">
        <v>15.574999999999999</v>
      </c>
      <c r="I58" s="20">
        <v>15.5</v>
      </c>
    </row>
    <row r="59" spans="1:9" x14ac:dyDescent="0.15">
      <c r="A59" s="3">
        <v>1890</v>
      </c>
      <c r="B59" s="24">
        <f t="shared" si="0"/>
        <v>60.428599999999989</v>
      </c>
      <c r="C59" s="20">
        <v>35.555599999999998</v>
      </c>
      <c r="D59" s="20">
        <v>13.273</v>
      </c>
      <c r="E59" s="20">
        <v>1</v>
      </c>
      <c r="F59" s="20">
        <v>5.3</v>
      </c>
      <c r="G59" s="20"/>
      <c r="H59" s="20">
        <v>5.3</v>
      </c>
      <c r="I59" s="20"/>
    </row>
    <row r="60" spans="1:9" x14ac:dyDescent="0.15">
      <c r="A60" s="3">
        <v>1891</v>
      </c>
      <c r="B60" s="24">
        <f t="shared" si="0"/>
        <v>16.14</v>
      </c>
      <c r="C60" s="20"/>
      <c r="D60" s="20">
        <v>0.06</v>
      </c>
      <c r="E60" s="20">
        <v>5</v>
      </c>
      <c r="F60" s="20">
        <v>5.54</v>
      </c>
      <c r="G60" s="20">
        <v>0.9</v>
      </c>
      <c r="H60" s="20">
        <v>4.6399999999999997</v>
      </c>
      <c r="I60" s="20"/>
    </row>
    <row r="61" spans="1:9" x14ac:dyDescent="0.15">
      <c r="A61" s="3">
        <v>1892</v>
      </c>
      <c r="B61" s="24">
        <f t="shared" si="0"/>
        <v>67.236000000000004</v>
      </c>
      <c r="C61" s="20"/>
      <c r="D61" s="20">
        <v>11.83</v>
      </c>
      <c r="E61" s="20">
        <v>0.75600000000000001</v>
      </c>
      <c r="F61" s="20">
        <v>27.324999999999999</v>
      </c>
      <c r="G61" s="20">
        <v>23.6</v>
      </c>
      <c r="H61" s="20">
        <v>3.7</v>
      </c>
      <c r="I61" s="20">
        <v>2.5000000000000001E-2</v>
      </c>
    </row>
    <row r="62" spans="1:9" x14ac:dyDescent="0.15">
      <c r="A62" s="3">
        <v>1893</v>
      </c>
      <c r="B62" s="24">
        <f t="shared" si="0"/>
        <v>29.974</v>
      </c>
      <c r="C62" s="20"/>
      <c r="D62" s="20">
        <v>4.7939999999999996</v>
      </c>
      <c r="E62" s="20">
        <v>0</v>
      </c>
      <c r="F62" s="20">
        <v>12.59</v>
      </c>
      <c r="G62" s="20">
        <v>2.95</v>
      </c>
      <c r="H62" s="20">
        <v>5.71</v>
      </c>
      <c r="I62" s="20">
        <v>3.93</v>
      </c>
    </row>
    <row r="63" spans="1:9" x14ac:dyDescent="0.15">
      <c r="A63" s="3">
        <v>1894</v>
      </c>
      <c r="B63" s="24">
        <f t="shared" si="0"/>
        <v>100.0047</v>
      </c>
      <c r="C63" s="20">
        <v>18</v>
      </c>
      <c r="D63" s="20">
        <v>15.419</v>
      </c>
      <c r="E63" s="20">
        <v>20.085699999999999</v>
      </c>
      <c r="F63" s="20">
        <v>23.25</v>
      </c>
      <c r="G63" s="20">
        <v>8.0860000000000003</v>
      </c>
      <c r="H63" s="20">
        <v>15.164</v>
      </c>
      <c r="I63" s="20"/>
    </row>
    <row r="64" spans="1:9" x14ac:dyDescent="0.15">
      <c r="A64" s="3">
        <v>1895</v>
      </c>
      <c r="B64" s="24">
        <f t="shared" si="0"/>
        <v>50.169999999999995</v>
      </c>
      <c r="C64" s="20"/>
      <c r="D64" s="20"/>
      <c r="E64" s="20">
        <v>0</v>
      </c>
      <c r="F64" s="20">
        <v>25.085000000000001</v>
      </c>
      <c r="G64" s="20">
        <v>5.6849999999999996</v>
      </c>
      <c r="H64" s="20">
        <v>19.25</v>
      </c>
      <c r="I64" s="20">
        <v>0.15</v>
      </c>
    </row>
    <row r="65" spans="1:9" x14ac:dyDescent="0.15">
      <c r="A65" s="3">
        <v>1896</v>
      </c>
      <c r="B65" s="24">
        <f t="shared" si="0"/>
        <v>33.059999999999995</v>
      </c>
      <c r="C65" s="20"/>
      <c r="D65" s="20">
        <v>4.32</v>
      </c>
      <c r="E65" s="20">
        <v>2</v>
      </c>
      <c r="F65" s="20">
        <v>13.37</v>
      </c>
      <c r="G65" s="20">
        <v>5.82</v>
      </c>
      <c r="H65" s="20">
        <v>7.55</v>
      </c>
      <c r="I65" s="20"/>
    </row>
    <row r="66" spans="1:9" x14ac:dyDescent="0.15">
      <c r="A66" s="3">
        <v>1897</v>
      </c>
      <c r="B66" s="24">
        <f t="shared" si="0"/>
        <v>61.451999999999991</v>
      </c>
      <c r="C66" s="20"/>
      <c r="D66" s="20">
        <v>3.7509999999999999</v>
      </c>
      <c r="E66" s="20">
        <v>8.4209999999999994</v>
      </c>
      <c r="F66" s="20">
        <v>24.64</v>
      </c>
      <c r="G66" s="20">
        <v>18.079999999999998</v>
      </c>
      <c r="H66" s="20">
        <v>6.41</v>
      </c>
      <c r="I66" s="20">
        <v>0.15</v>
      </c>
    </row>
    <row r="67" spans="1:9" x14ac:dyDescent="0.15">
      <c r="A67" s="3">
        <v>1898</v>
      </c>
      <c r="B67" s="24">
        <f t="shared" si="0"/>
        <v>212.41294000000002</v>
      </c>
      <c r="C67" s="20"/>
      <c r="D67" s="20">
        <v>2.125</v>
      </c>
      <c r="E67" s="20">
        <v>7.1779999999999999</v>
      </c>
      <c r="F67" s="20">
        <v>101.55497</v>
      </c>
      <c r="G67" s="20">
        <v>57.344970000000004</v>
      </c>
      <c r="H67" s="20">
        <v>44.21</v>
      </c>
      <c r="I67" s="20"/>
    </row>
    <row r="68" spans="1:9" x14ac:dyDescent="0.15">
      <c r="A68" s="3">
        <v>1899</v>
      </c>
      <c r="B68" s="24">
        <f t="shared" si="0"/>
        <v>63.315100000000001</v>
      </c>
      <c r="C68" s="20">
        <v>36</v>
      </c>
      <c r="D68" s="20">
        <v>11.7416</v>
      </c>
      <c r="E68" s="20">
        <v>0.3735</v>
      </c>
      <c r="F68" s="20">
        <v>7.6</v>
      </c>
      <c r="G68" s="20">
        <v>0.5</v>
      </c>
      <c r="H68" s="20">
        <v>6.6</v>
      </c>
      <c r="I68" s="20">
        <v>0.5</v>
      </c>
    </row>
    <row r="69" spans="1:9" x14ac:dyDescent="0.15">
      <c r="A69" s="3">
        <v>1900</v>
      </c>
      <c r="B69" s="24">
        <f t="shared" ref="B69:B132" si="1">SUM(C69:I69)</f>
        <v>121.565</v>
      </c>
      <c r="C69" s="20">
        <v>36.32</v>
      </c>
      <c r="D69" s="20">
        <v>32.024999999999999</v>
      </c>
      <c r="E69" s="20">
        <v>5</v>
      </c>
      <c r="F69" s="20">
        <v>24.11</v>
      </c>
      <c r="G69" s="20">
        <v>2.7</v>
      </c>
      <c r="H69" s="20">
        <v>20.91</v>
      </c>
      <c r="I69" s="20">
        <v>0.5</v>
      </c>
    </row>
    <row r="70" spans="1:9" x14ac:dyDescent="0.15">
      <c r="A70" s="3">
        <v>1901</v>
      </c>
      <c r="B70" s="24">
        <f t="shared" si="1"/>
        <v>84.52000000000001</v>
      </c>
      <c r="C70" s="20"/>
      <c r="D70" s="20">
        <v>13.65</v>
      </c>
      <c r="E70" s="20">
        <v>0</v>
      </c>
      <c r="F70" s="20">
        <v>35.435000000000002</v>
      </c>
      <c r="G70" s="20">
        <v>7.66</v>
      </c>
      <c r="H70" s="20">
        <v>27.774999999999999</v>
      </c>
      <c r="I70" s="20"/>
    </row>
    <row r="71" spans="1:9" x14ac:dyDescent="0.15">
      <c r="A71" s="3">
        <v>1902</v>
      </c>
      <c r="B71" s="24">
        <f t="shared" si="1"/>
        <v>123.38180000000003</v>
      </c>
      <c r="C71" s="20"/>
      <c r="D71" s="20">
        <v>19.914999999999999</v>
      </c>
      <c r="E71" s="20">
        <v>13</v>
      </c>
      <c r="F71" s="20">
        <v>45.233400000000003</v>
      </c>
      <c r="G71" s="20">
        <v>11.67</v>
      </c>
      <c r="H71" s="20">
        <v>32.163400000000003</v>
      </c>
      <c r="I71" s="20">
        <v>1.4</v>
      </c>
    </row>
    <row r="72" spans="1:9" x14ac:dyDescent="0.15">
      <c r="A72" s="3">
        <v>1903</v>
      </c>
      <c r="B72" s="24">
        <f t="shared" si="1"/>
        <v>169.95299999999997</v>
      </c>
      <c r="C72" s="20"/>
      <c r="D72" s="20">
        <v>6.149</v>
      </c>
      <c r="E72" s="20">
        <v>6</v>
      </c>
      <c r="F72" s="20">
        <v>78.902000000000001</v>
      </c>
      <c r="G72" s="20">
        <v>6.59</v>
      </c>
      <c r="H72" s="20">
        <v>68.171999999999997</v>
      </c>
      <c r="I72" s="20">
        <v>4.1399999999999997</v>
      </c>
    </row>
    <row r="73" spans="1:9" x14ac:dyDescent="0.15">
      <c r="A73" s="3">
        <v>1904</v>
      </c>
      <c r="B73" s="24">
        <f t="shared" si="1"/>
        <v>181.65299999999999</v>
      </c>
      <c r="C73" s="20">
        <v>36</v>
      </c>
      <c r="D73" s="20">
        <v>3.3</v>
      </c>
      <c r="E73" s="20">
        <v>68.293000000000006</v>
      </c>
      <c r="F73" s="20">
        <v>37.03</v>
      </c>
      <c r="G73" s="20">
        <v>10.18</v>
      </c>
      <c r="H73" s="20">
        <v>26.85</v>
      </c>
      <c r="I73" s="20"/>
    </row>
    <row r="74" spans="1:9" x14ac:dyDescent="0.15">
      <c r="A74" s="3">
        <v>1905</v>
      </c>
      <c r="B74" s="24">
        <f t="shared" si="1"/>
        <v>119.1867</v>
      </c>
      <c r="C74" s="20"/>
      <c r="D74" s="20">
        <v>31.709700000000002</v>
      </c>
      <c r="E74" s="20">
        <v>5.0970000000000004</v>
      </c>
      <c r="F74" s="20">
        <v>41.19</v>
      </c>
      <c r="G74" s="20">
        <v>6.28</v>
      </c>
      <c r="H74" s="20">
        <v>34.909999999999997</v>
      </c>
      <c r="I74" s="20"/>
    </row>
    <row r="75" spans="1:9" x14ac:dyDescent="0.15">
      <c r="A75" s="3">
        <v>1906</v>
      </c>
      <c r="B75" s="24">
        <f t="shared" si="1"/>
        <v>153.33536000000001</v>
      </c>
      <c r="C75" s="20">
        <v>43.2</v>
      </c>
      <c r="D75" s="20">
        <v>22.332000000000001</v>
      </c>
      <c r="E75" s="20">
        <v>14.303599999999999</v>
      </c>
      <c r="F75" s="20">
        <v>36.749879999999997</v>
      </c>
      <c r="G75" s="20">
        <v>3.64988</v>
      </c>
      <c r="H75" s="20">
        <v>32.4</v>
      </c>
      <c r="I75" s="20">
        <v>0.7</v>
      </c>
    </row>
    <row r="76" spans="1:9" x14ac:dyDescent="0.15">
      <c r="A76" s="3">
        <v>1907</v>
      </c>
      <c r="B76" s="24">
        <f t="shared" si="1"/>
        <v>141.04</v>
      </c>
      <c r="C76" s="20">
        <v>46.8</v>
      </c>
      <c r="D76" s="20">
        <v>6.63</v>
      </c>
      <c r="E76" s="20">
        <v>0</v>
      </c>
      <c r="F76" s="20">
        <v>43.805</v>
      </c>
      <c r="G76" s="20">
        <v>0</v>
      </c>
      <c r="H76" s="20">
        <v>43.805</v>
      </c>
      <c r="I76" s="20"/>
    </row>
    <row r="77" spans="1:9" x14ac:dyDescent="0.15">
      <c r="A77" s="3">
        <v>1908</v>
      </c>
      <c r="B77" s="24">
        <f t="shared" si="1"/>
        <v>257.78819999999996</v>
      </c>
      <c r="C77" s="20">
        <v>54.48</v>
      </c>
      <c r="D77" s="20">
        <v>56.19</v>
      </c>
      <c r="E77" s="20">
        <v>11.7982</v>
      </c>
      <c r="F77" s="20">
        <v>67.66</v>
      </c>
      <c r="G77" s="20">
        <v>16.95</v>
      </c>
      <c r="H77" s="20">
        <v>38.71</v>
      </c>
      <c r="I77" s="20">
        <v>12</v>
      </c>
    </row>
    <row r="78" spans="1:9" x14ac:dyDescent="0.15">
      <c r="A78" s="3">
        <v>1909</v>
      </c>
      <c r="B78" s="24">
        <f t="shared" si="1"/>
        <v>138.21709999999999</v>
      </c>
      <c r="C78" s="20"/>
      <c r="D78" s="20">
        <v>57.423900000000003</v>
      </c>
      <c r="E78" s="20">
        <v>7.6932</v>
      </c>
      <c r="F78" s="20">
        <v>36.549999999999997</v>
      </c>
      <c r="G78" s="20">
        <v>3.7</v>
      </c>
      <c r="H78" s="20">
        <v>31.25</v>
      </c>
      <c r="I78" s="20">
        <v>1.6</v>
      </c>
    </row>
    <row r="79" spans="1:9" x14ac:dyDescent="0.15">
      <c r="A79" s="3">
        <v>1910</v>
      </c>
      <c r="B79" s="24">
        <f t="shared" si="1"/>
        <v>276.40526000000006</v>
      </c>
      <c r="C79" s="20"/>
      <c r="D79" s="20">
        <v>31.614000000000001</v>
      </c>
      <c r="E79" s="20">
        <v>130.8475</v>
      </c>
      <c r="F79" s="20">
        <v>56.971879999999999</v>
      </c>
      <c r="G79" s="20">
        <v>19.51688</v>
      </c>
      <c r="H79" s="20">
        <v>37.234999999999999</v>
      </c>
      <c r="I79" s="20">
        <v>0.22</v>
      </c>
    </row>
    <row r="80" spans="1:9" x14ac:dyDescent="0.15">
      <c r="A80" s="3">
        <v>1911</v>
      </c>
      <c r="B80" s="24">
        <f t="shared" si="1"/>
        <v>240.00200000000001</v>
      </c>
      <c r="C80" s="20">
        <v>72</v>
      </c>
      <c r="D80" s="20">
        <v>14.95</v>
      </c>
      <c r="E80" s="20">
        <v>2</v>
      </c>
      <c r="F80" s="20">
        <v>75.525999999999996</v>
      </c>
      <c r="G80" s="20">
        <v>10.025</v>
      </c>
      <c r="H80" s="20">
        <v>65.501000000000005</v>
      </c>
      <c r="I80" s="20"/>
    </row>
    <row r="81" spans="1:9" x14ac:dyDescent="0.15">
      <c r="A81" s="3">
        <v>1912</v>
      </c>
      <c r="B81" s="24">
        <f t="shared" si="1"/>
        <v>164.87175999999999</v>
      </c>
      <c r="C81" s="20"/>
      <c r="D81" s="20">
        <v>11.858000000000001</v>
      </c>
      <c r="E81" s="20">
        <v>8.5137599999999996</v>
      </c>
      <c r="F81" s="20">
        <v>72.25</v>
      </c>
      <c r="G81" s="20">
        <v>8</v>
      </c>
      <c r="H81" s="20">
        <v>64.25</v>
      </c>
      <c r="I81" s="20"/>
    </row>
    <row r="82" spans="1:9" x14ac:dyDescent="0.15">
      <c r="A82" s="3">
        <v>1913</v>
      </c>
      <c r="B82" s="24">
        <f t="shared" si="1"/>
        <v>167.1808</v>
      </c>
      <c r="C82" s="20">
        <v>24.48</v>
      </c>
      <c r="D82" s="20">
        <v>26.4008</v>
      </c>
      <c r="E82" s="20">
        <v>29.5</v>
      </c>
      <c r="F82" s="20">
        <v>43.4</v>
      </c>
      <c r="G82" s="20">
        <v>1.5</v>
      </c>
      <c r="H82" s="20">
        <v>41.9</v>
      </c>
      <c r="I82" s="20"/>
    </row>
    <row r="83" spans="1:9" x14ac:dyDescent="0.15">
      <c r="A83" s="3">
        <v>1914</v>
      </c>
      <c r="B83" s="24">
        <f t="shared" si="1"/>
        <v>232.952</v>
      </c>
      <c r="C83" s="20">
        <v>77.521000000000001</v>
      </c>
      <c r="D83" s="20">
        <v>46.3</v>
      </c>
      <c r="E83" s="20">
        <v>22.451000000000001</v>
      </c>
      <c r="F83" s="20">
        <v>43.34</v>
      </c>
      <c r="G83" s="20">
        <v>0.9</v>
      </c>
      <c r="H83" s="20">
        <v>42.44</v>
      </c>
      <c r="I83" s="20"/>
    </row>
    <row r="84" spans="1:9" x14ac:dyDescent="0.15">
      <c r="A84" s="3">
        <v>1915</v>
      </c>
      <c r="B84" s="24">
        <f t="shared" si="1"/>
        <v>249.0025</v>
      </c>
      <c r="C84" s="20">
        <v>121.17700000000001</v>
      </c>
      <c r="D84" s="20">
        <v>23.097999999999999</v>
      </c>
      <c r="E84" s="20">
        <v>38.2485</v>
      </c>
      <c r="F84" s="20">
        <v>33.2395</v>
      </c>
      <c r="G84" s="20">
        <v>3.2</v>
      </c>
      <c r="H84" s="20">
        <v>30</v>
      </c>
      <c r="I84" s="20">
        <v>3.95E-2</v>
      </c>
    </row>
    <row r="85" spans="1:9" x14ac:dyDescent="0.15">
      <c r="A85" s="3">
        <v>1916</v>
      </c>
      <c r="B85" s="24">
        <f t="shared" si="1"/>
        <v>337.763845</v>
      </c>
      <c r="C85" s="20">
        <v>119.177345</v>
      </c>
      <c r="D85" s="20">
        <v>18.9755</v>
      </c>
      <c r="E85" s="20">
        <v>20.361000000000001</v>
      </c>
      <c r="F85" s="20">
        <v>89.625</v>
      </c>
      <c r="G85" s="20">
        <v>10.35</v>
      </c>
      <c r="H85" s="20">
        <v>75.349999999999994</v>
      </c>
      <c r="I85" s="20">
        <v>3.9249999999999998</v>
      </c>
    </row>
    <row r="86" spans="1:9" x14ac:dyDescent="0.15">
      <c r="A86" s="3">
        <v>1917</v>
      </c>
      <c r="B86" s="24">
        <f t="shared" si="1"/>
        <v>472.21850399999994</v>
      </c>
      <c r="C86" s="20">
        <v>72.628600000000006</v>
      </c>
      <c r="D86" s="20">
        <v>32.749499999999998</v>
      </c>
      <c r="E86" s="20">
        <v>19.466999999999999</v>
      </c>
      <c r="F86" s="20">
        <v>173.68670399999999</v>
      </c>
      <c r="G86" s="20">
        <v>52.631999999999998</v>
      </c>
      <c r="H86" s="20">
        <v>121.0547</v>
      </c>
      <c r="I86" s="20"/>
    </row>
    <row r="87" spans="1:9" x14ac:dyDescent="0.15">
      <c r="A87" s="3">
        <v>1918</v>
      </c>
      <c r="B87" s="24">
        <f t="shared" si="1"/>
        <v>375.42650000000003</v>
      </c>
      <c r="C87" s="20">
        <v>98.191999999999993</v>
      </c>
      <c r="D87" s="20">
        <v>71.099000000000004</v>
      </c>
      <c r="E87" s="20">
        <v>32.335500000000003</v>
      </c>
      <c r="F87" s="20">
        <v>86.9</v>
      </c>
      <c r="G87" s="20"/>
      <c r="H87" s="20">
        <v>86.9</v>
      </c>
      <c r="I87" s="20"/>
    </row>
    <row r="88" spans="1:9" x14ac:dyDescent="0.15">
      <c r="A88" s="3">
        <v>1919</v>
      </c>
      <c r="B88" s="24">
        <f t="shared" si="1"/>
        <v>449.26521300000007</v>
      </c>
      <c r="C88" s="20">
        <v>190.11171300000001</v>
      </c>
      <c r="D88" s="20">
        <v>48.816000000000003</v>
      </c>
      <c r="E88" s="20">
        <v>16.767499999999998</v>
      </c>
      <c r="F88" s="20">
        <v>96.784999999999997</v>
      </c>
      <c r="G88" s="20">
        <v>5</v>
      </c>
      <c r="H88" s="20">
        <v>91.424999999999997</v>
      </c>
      <c r="I88" s="20">
        <v>0.36</v>
      </c>
    </row>
    <row r="89" spans="1:9" x14ac:dyDescent="0.15">
      <c r="A89" s="3">
        <v>1920</v>
      </c>
      <c r="B89" s="24">
        <f t="shared" si="1"/>
        <v>281.39675</v>
      </c>
      <c r="C89" s="20">
        <v>4.79345</v>
      </c>
      <c r="D89" s="20">
        <v>55.846299999999999</v>
      </c>
      <c r="E89" s="20">
        <v>29.356999999999999</v>
      </c>
      <c r="F89" s="20">
        <v>95.7</v>
      </c>
      <c r="G89" s="20">
        <v>31</v>
      </c>
      <c r="H89" s="20">
        <v>64.7</v>
      </c>
      <c r="I89" s="20"/>
    </row>
    <row r="90" spans="1:9" x14ac:dyDescent="0.15">
      <c r="A90" s="3">
        <v>1921</v>
      </c>
      <c r="B90" s="24">
        <f t="shared" si="1"/>
        <v>588.45870200000002</v>
      </c>
      <c r="C90" s="20">
        <v>158.693027</v>
      </c>
      <c r="D90" s="20">
        <v>57.210675000000002</v>
      </c>
      <c r="E90" s="20">
        <v>16.555</v>
      </c>
      <c r="F90" s="20">
        <v>178</v>
      </c>
      <c r="G90" s="20">
        <v>1</v>
      </c>
      <c r="H90" s="20">
        <v>177</v>
      </c>
      <c r="I90" s="20"/>
    </row>
    <row r="91" spans="1:9" x14ac:dyDescent="0.15">
      <c r="A91" s="3">
        <v>1922</v>
      </c>
      <c r="B91" s="24">
        <f t="shared" si="1"/>
        <v>322.90947299999999</v>
      </c>
      <c r="C91" s="20">
        <v>37.704473</v>
      </c>
      <c r="D91" s="20">
        <v>36.899000000000001</v>
      </c>
      <c r="E91" s="20">
        <v>69.906000000000006</v>
      </c>
      <c r="F91" s="20">
        <v>89.2</v>
      </c>
      <c r="G91" s="20">
        <v>30.5</v>
      </c>
      <c r="H91" s="20">
        <v>57.2</v>
      </c>
      <c r="I91" s="20">
        <v>1.5</v>
      </c>
    </row>
    <row r="92" spans="1:9" x14ac:dyDescent="0.15">
      <c r="A92" s="3">
        <v>1923</v>
      </c>
      <c r="B92" s="24">
        <f t="shared" si="1"/>
        <v>558.77642300000002</v>
      </c>
      <c r="C92" s="20">
        <v>207.73704799999999</v>
      </c>
      <c r="D92" s="20">
        <v>16.794374999999999</v>
      </c>
      <c r="E92" s="20">
        <v>84.245000000000005</v>
      </c>
      <c r="F92" s="20">
        <v>125</v>
      </c>
      <c r="G92" s="20">
        <v>24</v>
      </c>
      <c r="H92" s="20">
        <v>101</v>
      </c>
      <c r="I92" s="20"/>
    </row>
    <row r="93" spans="1:9" x14ac:dyDescent="0.15">
      <c r="A93" s="3">
        <v>1924</v>
      </c>
      <c r="B93" s="24">
        <f t="shared" si="1"/>
        <v>237.03085200000004</v>
      </c>
      <c r="C93" s="20">
        <v>118.24785199999999</v>
      </c>
      <c r="D93" s="20">
        <v>6</v>
      </c>
      <c r="E93" s="20">
        <v>83.183000000000007</v>
      </c>
      <c r="F93" s="20">
        <v>14.8</v>
      </c>
      <c r="G93" s="20">
        <v>11</v>
      </c>
      <c r="H93" s="20">
        <v>3.8</v>
      </c>
      <c r="I93" s="20"/>
    </row>
    <row r="94" spans="1:9" x14ac:dyDescent="0.15">
      <c r="A94" s="3">
        <v>1925</v>
      </c>
      <c r="B94" s="24">
        <f t="shared" si="1"/>
        <v>176.51150000000001</v>
      </c>
      <c r="C94" s="20">
        <v>0.41549999999999998</v>
      </c>
      <c r="D94" s="20">
        <v>27</v>
      </c>
      <c r="E94" s="20">
        <v>53.695999999999998</v>
      </c>
      <c r="F94" s="20">
        <v>47.7</v>
      </c>
      <c r="G94" s="20">
        <v>3.4</v>
      </c>
      <c r="H94" s="20">
        <v>42.8</v>
      </c>
      <c r="I94" s="20">
        <v>1.5</v>
      </c>
    </row>
    <row r="95" spans="1:9" x14ac:dyDescent="0.15">
      <c r="A95" s="3">
        <v>1926</v>
      </c>
      <c r="B95" s="24">
        <f t="shared" si="1"/>
        <v>215.54969999999997</v>
      </c>
      <c r="C95" s="20">
        <v>0.34870000000000001</v>
      </c>
      <c r="D95" s="20">
        <v>5</v>
      </c>
      <c r="E95" s="20">
        <v>72.400999999999996</v>
      </c>
      <c r="F95" s="20">
        <v>68.900000000000006</v>
      </c>
      <c r="G95" s="20">
        <v>10.199999999999999</v>
      </c>
      <c r="H95" s="20">
        <v>58.7</v>
      </c>
      <c r="I95" s="20"/>
    </row>
    <row r="96" spans="1:9" x14ac:dyDescent="0.15">
      <c r="A96" s="3">
        <v>1927</v>
      </c>
      <c r="B96" s="24">
        <f t="shared" si="1"/>
        <v>379.67160000000001</v>
      </c>
      <c r="C96" s="20">
        <v>57.4161</v>
      </c>
      <c r="D96" s="20"/>
      <c r="E96" s="20">
        <v>58.455500000000001</v>
      </c>
      <c r="F96" s="20">
        <v>131.9</v>
      </c>
      <c r="G96" s="20"/>
      <c r="H96" s="20">
        <v>131.5</v>
      </c>
      <c r="I96" s="20">
        <v>0.4</v>
      </c>
    </row>
    <row r="97" spans="1:9" x14ac:dyDescent="0.15">
      <c r="A97" s="3">
        <v>1928</v>
      </c>
      <c r="B97" s="24">
        <f t="shared" si="1"/>
        <v>547.26419999999996</v>
      </c>
      <c r="C97" s="20">
        <v>7.0792000000000002</v>
      </c>
      <c r="D97" s="20">
        <v>17.765999999999998</v>
      </c>
      <c r="E97" s="20">
        <v>110.815</v>
      </c>
      <c r="F97" s="20">
        <v>205.80199999999999</v>
      </c>
      <c r="G97" s="20">
        <v>11.651999999999999</v>
      </c>
      <c r="H97" s="20">
        <v>193.55</v>
      </c>
      <c r="I97" s="20">
        <v>0.6</v>
      </c>
    </row>
    <row r="98" spans="1:9" x14ac:dyDescent="0.15">
      <c r="A98" s="3">
        <v>1929</v>
      </c>
      <c r="B98" s="24">
        <f t="shared" si="1"/>
        <v>322.2482</v>
      </c>
      <c r="C98" s="20">
        <v>44.092199999999998</v>
      </c>
      <c r="D98" s="20">
        <v>5.9770000000000003</v>
      </c>
      <c r="E98" s="20">
        <v>92.978999999999999</v>
      </c>
      <c r="F98" s="20">
        <v>89.6</v>
      </c>
      <c r="G98" s="20"/>
      <c r="H98" s="20">
        <v>88.8</v>
      </c>
      <c r="I98" s="20">
        <v>0.8</v>
      </c>
    </row>
    <row r="99" spans="1:9" x14ac:dyDescent="0.15">
      <c r="A99" s="3">
        <v>1930</v>
      </c>
      <c r="B99" s="24">
        <f t="shared" si="1"/>
        <v>1082.4381920000001</v>
      </c>
      <c r="C99" s="20">
        <v>437.52519999999998</v>
      </c>
      <c r="D99" s="20">
        <v>25.097999999999999</v>
      </c>
      <c r="E99" s="20">
        <v>194.285</v>
      </c>
      <c r="F99" s="20">
        <v>212.76499200000001</v>
      </c>
      <c r="G99" s="20">
        <v>27</v>
      </c>
      <c r="H99" s="20">
        <v>185.76499999999999</v>
      </c>
      <c r="I99" s="20"/>
    </row>
    <row r="100" spans="1:9" x14ac:dyDescent="0.15">
      <c r="A100" s="3">
        <v>1931</v>
      </c>
      <c r="B100" s="24">
        <f t="shared" si="1"/>
        <v>670.66730000000007</v>
      </c>
      <c r="C100" s="20">
        <v>227.6123</v>
      </c>
      <c r="D100" s="20">
        <v>27.521000000000001</v>
      </c>
      <c r="E100" s="20">
        <v>170.202</v>
      </c>
      <c r="F100" s="20">
        <v>122.666</v>
      </c>
      <c r="G100" s="20">
        <v>3.6</v>
      </c>
      <c r="H100" s="20">
        <v>119.066</v>
      </c>
      <c r="I100" s="20"/>
    </row>
    <row r="101" spans="1:9" x14ac:dyDescent="0.15">
      <c r="A101" s="3">
        <v>1932</v>
      </c>
      <c r="B101" s="24">
        <f t="shared" si="1"/>
        <v>484.64422000000002</v>
      </c>
      <c r="C101" s="20">
        <v>151.11060000000001</v>
      </c>
      <c r="D101" s="20">
        <v>34.469619999999999</v>
      </c>
      <c r="E101" s="20">
        <v>259.06400000000002</v>
      </c>
      <c r="F101" s="20">
        <v>20</v>
      </c>
      <c r="G101" s="20">
        <v>20</v>
      </c>
      <c r="H101" s="20"/>
      <c r="I101" s="20"/>
    </row>
    <row r="102" spans="1:9" x14ac:dyDescent="0.15">
      <c r="A102" s="3">
        <v>1933</v>
      </c>
      <c r="B102" s="24">
        <f t="shared" si="1"/>
        <v>681.98868799999991</v>
      </c>
      <c r="C102" s="20">
        <v>428.08049999999997</v>
      </c>
      <c r="D102" s="20">
        <v>49.576687999999997</v>
      </c>
      <c r="E102" s="20">
        <v>179.66749999999999</v>
      </c>
      <c r="F102" s="20">
        <v>12.332000000000001</v>
      </c>
      <c r="G102" s="20"/>
      <c r="H102" s="20">
        <v>12.332000000000001</v>
      </c>
      <c r="I102" s="20"/>
    </row>
    <row r="103" spans="1:9" x14ac:dyDescent="0.15">
      <c r="A103" s="3">
        <v>1934</v>
      </c>
      <c r="B103" s="24">
        <f t="shared" si="1"/>
        <v>552.65262700000005</v>
      </c>
      <c r="C103" s="20">
        <v>162.7816</v>
      </c>
      <c r="D103" s="20">
        <v>48.967027000000002</v>
      </c>
      <c r="E103" s="20">
        <v>224.91</v>
      </c>
      <c r="F103" s="20">
        <v>57.997</v>
      </c>
      <c r="G103" s="20">
        <v>9.1969999999999992</v>
      </c>
      <c r="H103" s="20">
        <v>48.8</v>
      </c>
      <c r="I103" s="20"/>
    </row>
    <row r="104" spans="1:9" x14ac:dyDescent="0.15">
      <c r="A104" s="3">
        <v>1935</v>
      </c>
      <c r="B104" s="24">
        <f t="shared" si="1"/>
        <v>611.57364699999994</v>
      </c>
      <c r="C104" s="20">
        <v>59.505000000000003</v>
      </c>
      <c r="D104" s="20">
        <v>10.444146999999999</v>
      </c>
      <c r="E104" s="20">
        <v>331.32249999999999</v>
      </c>
      <c r="F104" s="20">
        <v>105.151</v>
      </c>
      <c r="G104" s="20">
        <v>10.116</v>
      </c>
      <c r="H104" s="20">
        <v>95.034999999999997</v>
      </c>
      <c r="I104" s="20"/>
    </row>
    <row r="105" spans="1:9" x14ac:dyDescent="0.15">
      <c r="A105" s="3">
        <v>1936</v>
      </c>
      <c r="B105" s="24">
        <f t="shared" si="1"/>
        <v>660.43266000000006</v>
      </c>
      <c r="C105" s="20">
        <v>317.32310000000001</v>
      </c>
      <c r="D105" s="20">
        <v>35.036560000000001</v>
      </c>
      <c r="E105" s="20">
        <v>221.333</v>
      </c>
      <c r="F105" s="20">
        <v>43.37</v>
      </c>
      <c r="G105" s="20">
        <v>1.17</v>
      </c>
      <c r="H105" s="20">
        <v>42.2</v>
      </c>
      <c r="I105" s="20"/>
    </row>
    <row r="106" spans="1:9" x14ac:dyDescent="0.15">
      <c r="A106" s="3">
        <v>1937</v>
      </c>
      <c r="B106" s="24">
        <f t="shared" si="1"/>
        <v>923.06059199999993</v>
      </c>
      <c r="C106" s="20">
        <v>115.6871</v>
      </c>
      <c r="D106" s="20">
        <v>74.162999999999997</v>
      </c>
      <c r="E106" s="20">
        <v>349.76049999999998</v>
      </c>
      <c r="F106" s="20">
        <v>191.72499199999999</v>
      </c>
      <c r="G106" s="20">
        <v>5.45</v>
      </c>
      <c r="H106" s="20">
        <v>186.27500000000001</v>
      </c>
      <c r="I106" s="20"/>
    </row>
    <row r="107" spans="1:9" x14ac:dyDescent="0.15">
      <c r="A107" s="3">
        <v>1938</v>
      </c>
      <c r="B107" s="24">
        <f t="shared" si="1"/>
        <v>309.69540000000001</v>
      </c>
      <c r="C107" s="20">
        <v>36.125599999999999</v>
      </c>
      <c r="D107" s="20">
        <v>34.606000000000002</v>
      </c>
      <c r="E107" s="20">
        <v>115.2638</v>
      </c>
      <c r="F107" s="20">
        <v>61.85</v>
      </c>
      <c r="G107" s="20">
        <v>8.35</v>
      </c>
      <c r="H107" s="20">
        <v>53.5</v>
      </c>
      <c r="I107" s="20"/>
    </row>
    <row r="108" spans="1:9" x14ac:dyDescent="0.15">
      <c r="A108" s="3">
        <v>1939</v>
      </c>
      <c r="B108" s="24">
        <f t="shared" si="1"/>
        <v>507.77620000000002</v>
      </c>
      <c r="C108" s="20">
        <v>103.2932</v>
      </c>
      <c r="D108" s="20">
        <v>58.347999999999999</v>
      </c>
      <c r="E108" s="20">
        <v>193.73500000000001</v>
      </c>
      <c r="F108" s="20">
        <v>76.2</v>
      </c>
      <c r="G108" s="20">
        <v>6.5</v>
      </c>
      <c r="H108" s="20">
        <v>69.7</v>
      </c>
      <c r="I108" s="20"/>
    </row>
    <row r="109" spans="1:9" x14ac:dyDescent="0.15">
      <c r="A109" s="3">
        <v>1940</v>
      </c>
      <c r="B109" s="24">
        <f t="shared" si="1"/>
        <v>1190.051475</v>
      </c>
      <c r="C109" s="20">
        <v>1007.005975</v>
      </c>
      <c r="D109" s="20">
        <v>80.710999999999999</v>
      </c>
      <c r="E109" s="20">
        <v>84.334500000000006</v>
      </c>
      <c r="F109" s="20">
        <v>9</v>
      </c>
      <c r="G109" s="20">
        <v>6</v>
      </c>
      <c r="H109" s="20">
        <v>3</v>
      </c>
      <c r="I109" s="20"/>
    </row>
    <row r="110" spans="1:9" x14ac:dyDescent="0.15">
      <c r="A110" s="3">
        <v>1941</v>
      </c>
      <c r="B110" s="24">
        <f t="shared" si="1"/>
        <v>1588.6310600000002</v>
      </c>
      <c r="C110" s="20">
        <v>1224.4810600000001</v>
      </c>
      <c r="D110" s="20">
        <v>25</v>
      </c>
      <c r="E110" s="20">
        <v>236.75</v>
      </c>
      <c r="F110" s="20">
        <v>51.2</v>
      </c>
      <c r="G110" s="20">
        <v>8.5</v>
      </c>
      <c r="H110" s="20">
        <v>42.7</v>
      </c>
      <c r="I110" s="20"/>
    </row>
    <row r="111" spans="1:9" x14ac:dyDescent="0.15">
      <c r="A111" s="3">
        <v>1942</v>
      </c>
      <c r="B111" s="24">
        <f t="shared" si="1"/>
        <v>2433.6589499999995</v>
      </c>
      <c r="C111" s="20">
        <v>1858.5199500000001</v>
      </c>
      <c r="D111" s="20">
        <v>29.972000000000001</v>
      </c>
      <c r="E111" s="20">
        <v>342.767</v>
      </c>
      <c r="F111" s="20">
        <v>101.2</v>
      </c>
      <c r="G111" s="20"/>
      <c r="H111" s="20">
        <v>101.2</v>
      </c>
      <c r="I111" s="20"/>
    </row>
    <row r="112" spans="1:9" x14ac:dyDescent="0.15">
      <c r="A112" s="3">
        <v>1943</v>
      </c>
      <c r="B112" s="24">
        <f t="shared" si="1"/>
        <v>1814.7585999999997</v>
      </c>
      <c r="C112" s="20">
        <v>1410.0275999999999</v>
      </c>
      <c r="D112" s="20">
        <v>39.866</v>
      </c>
      <c r="E112" s="20">
        <v>261.66500000000002</v>
      </c>
      <c r="F112" s="20">
        <v>51.6</v>
      </c>
      <c r="G112" s="20"/>
      <c r="H112" s="20">
        <v>51.6</v>
      </c>
      <c r="I112" s="20"/>
    </row>
    <row r="113" spans="1:9" x14ac:dyDescent="0.15">
      <c r="A113" s="3">
        <v>1944</v>
      </c>
      <c r="B113" s="24">
        <f t="shared" si="1"/>
        <v>1543.7673650000002</v>
      </c>
      <c r="C113" s="20">
        <v>1260.8098649999999</v>
      </c>
      <c r="D113" s="20">
        <v>0.74099999999999999</v>
      </c>
      <c r="E113" s="20">
        <v>196.87649999999999</v>
      </c>
      <c r="F113" s="20">
        <v>42.67</v>
      </c>
      <c r="G113" s="20"/>
      <c r="H113" s="20">
        <v>42.67</v>
      </c>
      <c r="I113" s="20"/>
    </row>
    <row r="114" spans="1:9" x14ac:dyDescent="0.15">
      <c r="A114" s="3">
        <v>1945</v>
      </c>
      <c r="B114" s="24">
        <f t="shared" si="1"/>
        <v>1979.0014299999998</v>
      </c>
      <c r="C114" s="20">
        <v>1291.40743</v>
      </c>
      <c r="D114" s="20">
        <v>82.52</v>
      </c>
      <c r="E114" s="20">
        <v>484.05399999999997</v>
      </c>
      <c r="F114" s="20">
        <v>60.51</v>
      </c>
      <c r="G114" s="20"/>
      <c r="H114" s="20">
        <v>60.51</v>
      </c>
      <c r="I114" s="20"/>
    </row>
    <row r="115" spans="1:9" x14ac:dyDescent="0.15">
      <c r="A115" s="3">
        <v>1946</v>
      </c>
      <c r="B115" s="24">
        <f t="shared" si="1"/>
        <v>1596.7672</v>
      </c>
      <c r="C115" s="20">
        <v>1122.4952000000001</v>
      </c>
      <c r="D115" s="20">
        <v>75</v>
      </c>
      <c r="E115" s="20">
        <v>259.42599999999999</v>
      </c>
      <c r="F115" s="20">
        <v>69.923000000000002</v>
      </c>
      <c r="G115" s="20">
        <v>18.942</v>
      </c>
      <c r="H115" s="20">
        <v>50.981000000000002</v>
      </c>
      <c r="I115" s="20"/>
    </row>
    <row r="116" spans="1:9" x14ac:dyDescent="0.15">
      <c r="A116" s="3">
        <v>1947</v>
      </c>
      <c r="B116" s="24">
        <f t="shared" si="1"/>
        <v>1483.7660080000001</v>
      </c>
      <c r="C116" s="20">
        <v>338.91800000000001</v>
      </c>
      <c r="D116" s="20">
        <v>131.148</v>
      </c>
      <c r="E116" s="20">
        <v>345.91800000000001</v>
      </c>
      <c r="F116" s="20">
        <v>333.891008</v>
      </c>
      <c r="G116" s="20">
        <v>64</v>
      </c>
      <c r="H116" s="20">
        <v>269.89100000000002</v>
      </c>
      <c r="I116" s="20"/>
    </row>
    <row r="117" spans="1:9" x14ac:dyDescent="0.15">
      <c r="A117" s="3">
        <v>1948</v>
      </c>
      <c r="B117" s="24">
        <f t="shared" si="1"/>
        <v>807.36799999999994</v>
      </c>
      <c r="C117" s="20">
        <v>31.983000000000001</v>
      </c>
      <c r="D117" s="20">
        <v>125</v>
      </c>
      <c r="E117" s="20">
        <v>316.38499999999999</v>
      </c>
      <c r="F117" s="20">
        <v>167</v>
      </c>
      <c r="G117" s="20">
        <v>0</v>
      </c>
      <c r="H117" s="20">
        <v>167</v>
      </c>
      <c r="I117" s="20"/>
    </row>
    <row r="118" spans="1:9" x14ac:dyDescent="0.15">
      <c r="A118" s="3">
        <v>1949</v>
      </c>
      <c r="B118" s="24">
        <f t="shared" si="1"/>
        <v>1171.6949999999999</v>
      </c>
      <c r="C118" s="20">
        <v>489.91199999999998</v>
      </c>
      <c r="D118" s="20">
        <v>204.23699999999999</v>
      </c>
      <c r="E118" s="20">
        <v>156.54599999999999</v>
      </c>
      <c r="F118" s="20">
        <v>160.5</v>
      </c>
      <c r="G118" s="20">
        <v>0</v>
      </c>
      <c r="H118" s="20">
        <v>160.5</v>
      </c>
      <c r="I118" s="20"/>
    </row>
    <row r="119" spans="1:9" x14ac:dyDescent="0.15">
      <c r="A119" s="3">
        <v>1950</v>
      </c>
      <c r="B119" s="24">
        <f t="shared" si="1"/>
        <v>934.44499999999994</v>
      </c>
      <c r="C119" s="20">
        <v>448.65300000000002</v>
      </c>
      <c r="D119" s="20">
        <v>206.761</v>
      </c>
      <c r="E119" s="20">
        <v>245.53100000000001</v>
      </c>
      <c r="F119" s="20">
        <v>7.5</v>
      </c>
      <c r="G119" s="20">
        <v>0</v>
      </c>
      <c r="H119" s="20">
        <v>26</v>
      </c>
      <c r="I119" s="20"/>
    </row>
    <row r="120" spans="1:9" x14ac:dyDescent="0.15">
      <c r="A120" s="3">
        <v>1951</v>
      </c>
      <c r="B120" s="24">
        <f t="shared" si="1"/>
        <v>1202</v>
      </c>
      <c r="C120" s="20">
        <v>380.1</v>
      </c>
      <c r="D120" s="20">
        <v>231</v>
      </c>
      <c r="E120" s="20">
        <v>397.4</v>
      </c>
      <c r="F120" s="20">
        <v>47</v>
      </c>
      <c r="G120" s="20">
        <v>0</v>
      </c>
      <c r="H120" s="20">
        <v>146.5</v>
      </c>
      <c r="I120" s="20"/>
    </row>
    <row r="121" spans="1:9" x14ac:dyDescent="0.15">
      <c r="A121" s="3">
        <v>1952</v>
      </c>
      <c r="B121" s="24">
        <f t="shared" si="1"/>
        <v>1258.9000000000001</v>
      </c>
      <c r="C121" s="20">
        <v>528.79999999999995</v>
      </c>
      <c r="D121" s="20">
        <v>185</v>
      </c>
      <c r="E121" s="20">
        <v>294.60000000000002</v>
      </c>
      <c r="F121" s="20">
        <v>98.5</v>
      </c>
      <c r="G121" s="20">
        <v>30</v>
      </c>
      <c r="H121" s="20">
        <v>122</v>
      </c>
      <c r="I121" s="20"/>
    </row>
    <row r="122" spans="1:9" x14ac:dyDescent="0.15">
      <c r="A122" s="3">
        <v>1953</v>
      </c>
      <c r="B122" s="24">
        <f t="shared" si="1"/>
        <v>2791.1</v>
      </c>
      <c r="C122" s="20">
        <v>2022.6</v>
      </c>
      <c r="D122" s="20">
        <v>25</v>
      </c>
      <c r="E122" s="20">
        <v>331.5</v>
      </c>
      <c r="F122" s="20">
        <v>201.5</v>
      </c>
      <c r="G122" s="20">
        <v>30</v>
      </c>
      <c r="H122" s="20">
        <v>180.5</v>
      </c>
      <c r="I122" s="20"/>
    </row>
    <row r="123" spans="1:9" x14ac:dyDescent="0.15">
      <c r="A123" s="3">
        <v>1954</v>
      </c>
      <c r="B123" s="24">
        <f t="shared" si="1"/>
        <v>2773.4</v>
      </c>
      <c r="C123" s="20">
        <v>2182.5</v>
      </c>
      <c r="D123" s="20"/>
      <c r="E123" s="20">
        <v>324.89999999999998</v>
      </c>
      <c r="F123" s="20">
        <v>128</v>
      </c>
      <c r="G123" s="20">
        <v>40</v>
      </c>
      <c r="H123" s="20">
        <v>98</v>
      </c>
      <c r="I123" s="20"/>
    </row>
    <row r="124" spans="1:9" x14ac:dyDescent="0.15">
      <c r="A124" s="3">
        <v>1955</v>
      </c>
      <c r="B124" s="24">
        <f t="shared" si="1"/>
        <v>1773</v>
      </c>
      <c r="C124" s="20">
        <v>1036</v>
      </c>
      <c r="D124" s="20">
        <v>80</v>
      </c>
      <c r="E124" s="20">
        <v>535</v>
      </c>
      <c r="F124" s="20">
        <v>81</v>
      </c>
      <c r="G124" s="20">
        <v>0</v>
      </c>
      <c r="H124" s="20">
        <v>41</v>
      </c>
      <c r="I124" s="20"/>
    </row>
    <row r="125" spans="1:9" x14ac:dyDescent="0.15">
      <c r="A125" s="3">
        <v>1956</v>
      </c>
      <c r="B125" s="24">
        <f t="shared" si="1"/>
        <v>1501.6</v>
      </c>
      <c r="C125" s="20">
        <v>566.6</v>
      </c>
      <c r="D125" s="20">
        <v>179.4</v>
      </c>
      <c r="E125" s="20">
        <v>499.6</v>
      </c>
      <c r="F125" s="20">
        <v>128</v>
      </c>
      <c r="G125" s="20">
        <v>12</v>
      </c>
      <c r="H125" s="20">
        <v>116</v>
      </c>
      <c r="I125" s="20"/>
    </row>
    <row r="126" spans="1:9" x14ac:dyDescent="0.15">
      <c r="A126" s="3">
        <v>1957</v>
      </c>
      <c r="B126" s="24">
        <f t="shared" si="1"/>
        <v>2836.5</v>
      </c>
      <c r="C126" s="20">
        <v>1599.8</v>
      </c>
      <c r="D126" s="20"/>
      <c r="E126" s="20">
        <v>808.7</v>
      </c>
      <c r="F126" s="20">
        <v>214</v>
      </c>
      <c r="G126" s="20">
        <v>83</v>
      </c>
      <c r="H126" s="20">
        <v>131</v>
      </c>
      <c r="I126" s="20"/>
    </row>
    <row r="127" spans="1:9" x14ac:dyDescent="0.15">
      <c r="A127" s="3">
        <v>1958</v>
      </c>
      <c r="B127" s="24">
        <f t="shared" si="1"/>
        <v>2332.8000000000002</v>
      </c>
      <c r="C127" s="20">
        <v>1089.2</v>
      </c>
      <c r="D127" s="20">
        <v>150</v>
      </c>
      <c r="E127" s="20">
        <v>783.6</v>
      </c>
      <c r="F127" s="20">
        <v>155</v>
      </c>
      <c r="G127" s="20">
        <v>30</v>
      </c>
      <c r="H127" s="20">
        <v>125</v>
      </c>
      <c r="I127" s="20"/>
    </row>
    <row r="128" spans="1:9" x14ac:dyDescent="0.15">
      <c r="A128" s="3">
        <v>1959</v>
      </c>
      <c r="B128" s="24">
        <f t="shared" si="1"/>
        <v>3412</v>
      </c>
      <c r="C128" s="20">
        <v>2320.3000000000002</v>
      </c>
      <c r="D128" s="20"/>
      <c r="E128" s="20">
        <v>823.7</v>
      </c>
      <c r="F128" s="20">
        <v>134</v>
      </c>
      <c r="G128" s="20">
        <v>0</v>
      </c>
      <c r="H128" s="20">
        <v>134</v>
      </c>
      <c r="I128" s="20"/>
    </row>
    <row r="129" spans="1:9" x14ac:dyDescent="0.15">
      <c r="A129" s="3">
        <v>1960</v>
      </c>
      <c r="B129" s="24">
        <f t="shared" si="1"/>
        <v>2765.8</v>
      </c>
      <c r="C129" s="20">
        <v>1211.3</v>
      </c>
      <c r="D129" s="20">
        <v>140</v>
      </c>
      <c r="E129" s="20">
        <v>936.5</v>
      </c>
      <c r="F129" s="20">
        <v>256</v>
      </c>
      <c r="G129" s="20">
        <v>30</v>
      </c>
      <c r="H129" s="20">
        <v>192</v>
      </c>
      <c r="I129" s="20"/>
    </row>
    <row r="130" spans="1:9" x14ac:dyDescent="0.15">
      <c r="A130" s="3">
        <v>1961</v>
      </c>
      <c r="B130" s="24">
        <f t="shared" si="1"/>
        <v>2357</v>
      </c>
      <c r="C130" s="20">
        <v>600</v>
      </c>
      <c r="D130" s="20">
        <v>110</v>
      </c>
      <c r="E130" s="20">
        <v>1332</v>
      </c>
      <c r="F130" s="20">
        <v>315</v>
      </c>
      <c r="G130" s="20"/>
      <c r="H130" s="20"/>
      <c r="I130" s="20"/>
    </row>
    <row r="131" spans="1:9" x14ac:dyDescent="0.15">
      <c r="A131" s="3">
        <v>1962</v>
      </c>
      <c r="B131" s="24">
        <f t="shared" si="1"/>
        <v>5018</v>
      </c>
      <c r="C131" s="20">
        <v>969</v>
      </c>
      <c r="D131" s="20">
        <v>290</v>
      </c>
      <c r="E131" s="20">
        <v>2658</v>
      </c>
      <c r="F131" s="20">
        <v>1101</v>
      </c>
      <c r="G131" s="20"/>
      <c r="H131" s="20"/>
      <c r="I131" s="20"/>
    </row>
    <row r="132" spans="1:9" x14ac:dyDescent="0.15">
      <c r="A132" s="3">
        <v>1963</v>
      </c>
      <c r="B132" s="24">
        <f t="shared" si="1"/>
        <v>5930</v>
      </c>
      <c r="C132" s="20">
        <v>3278</v>
      </c>
      <c r="D132" s="20">
        <v>400</v>
      </c>
      <c r="E132" s="20">
        <v>1687</v>
      </c>
      <c r="F132" s="20">
        <v>565</v>
      </c>
      <c r="G132" s="20"/>
      <c r="H132" s="20"/>
      <c r="I132" s="20"/>
    </row>
    <row r="133" spans="1:9" x14ac:dyDescent="0.15">
      <c r="A133" s="3">
        <v>1964</v>
      </c>
      <c r="B133" s="24">
        <f t="shared" ref="B133:B190" si="2">SUM(C133:I133)</f>
        <v>5615</v>
      </c>
      <c r="C133" s="20">
        <v>1354</v>
      </c>
      <c r="D133" s="20">
        <v>445</v>
      </c>
      <c r="E133" s="20">
        <v>3180</v>
      </c>
      <c r="F133" s="20">
        <v>636</v>
      </c>
      <c r="G133" s="20"/>
      <c r="H133" s="20"/>
      <c r="I133" s="20"/>
    </row>
    <row r="134" spans="1:9" x14ac:dyDescent="0.15">
      <c r="A134" s="3">
        <v>1965</v>
      </c>
      <c r="B134" s="24">
        <f t="shared" si="2"/>
        <v>4349</v>
      </c>
      <c r="C134" s="20">
        <v>778</v>
      </c>
      <c r="D134" s="20">
        <v>290</v>
      </c>
      <c r="E134" s="20">
        <v>2691</v>
      </c>
      <c r="F134" s="20">
        <v>590</v>
      </c>
      <c r="G134" s="20"/>
      <c r="H134" s="20"/>
      <c r="I134" s="20"/>
    </row>
    <row r="135" spans="1:9" x14ac:dyDescent="0.15">
      <c r="A135" s="3">
        <v>1966</v>
      </c>
      <c r="B135" s="24">
        <f t="shared" si="2"/>
        <v>6477</v>
      </c>
      <c r="C135" s="20">
        <v>1050</v>
      </c>
      <c r="D135" s="20">
        <v>240</v>
      </c>
      <c r="E135" s="20">
        <v>4502</v>
      </c>
      <c r="F135" s="20">
        <v>685</v>
      </c>
      <c r="G135" s="20"/>
      <c r="H135" s="20"/>
      <c r="I135" s="20"/>
    </row>
    <row r="136" spans="1:9" x14ac:dyDescent="0.15">
      <c r="A136" s="3">
        <v>1967</v>
      </c>
      <c r="B136" s="24">
        <f t="shared" si="2"/>
        <v>9423</v>
      </c>
      <c r="C136" s="20">
        <v>2524</v>
      </c>
      <c r="D136" s="20">
        <v>275</v>
      </c>
      <c r="E136" s="20">
        <v>5135</v>
      </c>
      <c r="F136" s="20">
        <v>1489</v>
      </c>
      <c r="G136" s="20"/>
      <c r="H136" s="20"/>
      <c r="I136" s="20"/>
    </row>
    <row r="137" spans="1:9" x14ac:dyDescent="0.15">
      <c r="A137" s="3">
        <v>1968</v>
      </c>
      <c r="B137" s="24">
        <f t="shared" si="2"/>
        <v>11304</v>
      </c>
      <c r="C137" s="20">
        <v>3915</v>
      </c>
      <c r="D137" s="20">
        <v>385</v>
      </c>
      <c r="E137" s="20">
        <v>5623</v>
      </c>
      <c r="F137" s="20">
        <v>1381</v>
      </c>
      <c r="G137" s="20"/>
      <c r="H137" s="20"/>
      <c r="I137" s="20"/>
    </row>
    <row r="138" spans="1:9" x14ac:dyDescent="0.15">
      <c r="A138" s="3">
        <v>1969</v>
      </c>
      <c r="B138" s="24">
        <f t="shared" si="2"/>
        <v>12629</v>
      </c>
      <c r="C138" s="20">
        <v>3523</v>
      </c>
      <c r="D138" s="20">
        <v>305</v>
      </c>
      <c r="E138" s="20">
        <v>8073</v>
      </c>
      <c r="F138" s="20">
        <v>728</v>
      </c>
      <c r="G138" s="20"/>
      <c r="H138" s="20"/>
      <c r="I138" s="20"/>
    </row>
    <row r="139" spans="1:9" x14ac:dyDescent="0.15">
      <c r="A139" s="3">
        <v>1970</v>
      </c>
      <c r="B139" s="24">
        <f t="shared" si="2"/>
        <v>10876</v>
      </c>
      <c r="C139" s="20">
        <v>2612</v>
      </c>
      <c r="D139" s="20">
        <v>295</v>
      </c>
      <c r="E139" s="20">
        <v>7239</v>
      </c>
      <c r="F139" s="20">
        <v>730</v>
      </c>
      <c r="G139" s="20"/>
      <c r="H139" s="20"/>
      <c r="I139" s="20"/>
    </row>
    <row r="140" spans="1:9" x14ac:dyDescent="0.15">
      <c r="A140" s="3">
        <v>1971</v>
      </c>
      <c r="B140" s="24">
        <f t="shared" si="2"/>
        <v>14612</v>
      </c>
      <c r="C140" s="20">
        <v>3995</v>
      </c>
      <c r="D140" s="20">
        <v>400</v>
      </c>
      <c r="E140" s="20">
        <v>8517</v>
      </c>
      <c r="F140" s="20">
        <v>1700</v>
      </c>
      <c r="G140" s="20"/>
      <c r="H140" s="20"/>
      <c r="I140" s="20"/>
    </row>
    <row r="141" spans="1:9" x14ac:dyDescent="0.15">
      <c r="A141" s="3">
        <v>1972</v>
      </c>
      <c r="B141" s="24">
        <f t="shared" si="2"/>
        <v>14830</v>
      </c>
      <c r="C141" s="20">
        <v>4977</v>
      </c>
      <c r="D141" s="20">
        <v>470</v>
      </c>
      <c r="E141" s="20">
        <v>7770</v>
      </c>
      <c r="F141" s="20">
        <v>1613</v>
      </c>
      <c r="G141" s="20"/>
      <c r="H141" s="20"/>
      <c r="I141" s="20"/>
    </row>
    <row r="142" spans="1:9" x14ac:dyDescent="0.15">
      <c r="A142" s="3">
        <v>1973</v>
      </c>
      <c r="B142" s="24">
        <f t="shared" si="2"/>
        <v>20832</v>
      </c>
      <c r="C142" s="20">
        <v>9427</v>
      </c>
      <c r="D142" s="20">
        <v>525</v>
      </c>
      <c r="E142" s="20">
        <v>9332</v>
      </c>
      <c r="F142" s="20">
        <v>1548</v>
      </c>
      <c r="G142" s="20"/>
      <c r="H142" s="20"/>
      <c r="I142" s="20"/>
    </row>
    <row r="143" spans="1:9" x14ac:dyDescent="0.15">
      <c r="A143" s="3">
        <v>1974</v>
      </c>
      <c r="B143" s="24">
        <f t="shared" si="2"/>
        <v>21450</v>
      </c>
      <c r="C143" s="20">
        <v>6745</v>
      </c>
      <c r="D143" s="20">
        <v>490</v>
      </c>
      <c r="E143" s="20">
        <v>12820</v>
      </c>
      <c r="F143" s="20">
        <v>1395</v>
      </c>
      <c r="G143" s="20"/>
      <c r="H143" s="20"/>
      <c r="I143" s="20"/>
    </row>
    <row r="144" spans="1:9" x14ac:dyDescent="0.15">
      <c r="A144" s="3">
        <v>1975</v>
      </c>
      <c r="B144" s="24">
        <f t="shared" si="2"/>
        <v>28492</v>
      </c>
      <c r="C144" s="20">
        <v>12545</v>
      </c>
      <c r="D144" s="20">
        <v>433</v>
      </c>
      <c r="E144" s="20">
        <v>12894</v>
      </c>
      <c r="F144" s="20">
        <v>2620</v>
      </c>
      <c r="G144" s="20"/>
      <c r="H144" s="20"/>
      <c r="I144" s="20"/>
    </row>
    <row r="145" spans="1:9" x14ac:dyDescent="0.15">
      <c r="A145" s="3">
        <v>1976</v>
      </c>
      <c r="B145" s="24">
        <f t="shared" si="2"/>
        <v>27155</v>
      </c>
      <c r="C145" s="20">
        <v>11513</v>
      </c>
      <c r="D145" s="20">
        <v>420</v>
      </c>
      <c r="E145" s="20">
        <v>12182</v>
      </c>
      <c r="F145" s="20">
        <v>3040</v>
      </c>
      <c r="G145" s="20"/>
      <c r="H145" s="20"/>
      <c r="I145" s="20"/>
    </row>
    <row r="146" spans="1:9" x14ac:dyDescent="0.15">
      <c r="A146" s="3">
        <v>1977</v>
      </c>
      <c r="B146" s="24">
        <f t="shared" si="2"/>
        <v>25871</v>
      </c>
      <c r="C146" s="20">
        <v>9168</v>
      </c>
      <c r="D146" s="20">
        <v>300</v>
      </c>
      <c r="E146" s="20">
        <v>13518</v>
      </c>
      <c r="F146" s="20">
        <v>2885</v>
      </c>
      <c r="G146" s="20"/>
      <c r="H146" s="20"/>
      <c r="I146" s="20"/>
    </row>
    <row r="147" spans="1:9" x14ac:dyDescent="0.15">
      <c r="A147" s="3">
        <v>1978</v>
      </c>
      <c r="B147" s="24">
        <f t="shared" si="2"/>
        <v>46713</v>
      </c>
      <c r="C147" s="20">
        <v>27311</v>
      </c>
      <c r="D147" s="20">
        <v>365</v>
      </c>
      <c r="E147" s="20">
        <v>16372</v>
      </c>
      <c r="F147" s="20">
        <v>2665</v>
      </c>
      <c r="G147" s="20"/>
      <c r="H147" s="20"/>
      <c r="I147" s="20"/>
    </row>
    <row r="148" spans="1:9" x14ac:dyDescent="0.15">
      <c r="A148" s="3">
        <v>1979</v>
      </c>
      <c r="B148" s="24">
        <f t="shared" si="2"/>
        <v>43678</v>
      </c>
      <c r="C148" s="20">
        <v>23897</v>
      </c>
      <c r="D148" s="20">
        <v>283</v>
      </c>
      <c r="E148" s="20">
        <v>16453</v>
      </c>
      <c r="F148" s="20">
        <v>3045</v>
      </c>
      <c r="G148" s="20"/>
      <c r="H148" s="20"/>
      <c r="I148" s="20"/>
    </row>
    <row r="149" spans="1:9" x14ac:dyDescent="0.15">
      <c r="A149" s="3">
        <v>1980</v>
      </c>
      <c r="B149" s="24">
        <f t="shared" si="2"/>
        <v>45302</v>
      </c>
      <c r="C149" s="20">
        <v>27268</v>
      </c>
      <c r="D149" s="20">
        <v>222</v>
      </c>
      <c r="E149" s="20">
        <v>16447</v>
      </c>
      <c r="F149" s="20">
        <v>1365</v>
      </c>
      <c r="G149" s="20"/>
      <c r="H149" s="20"/>
      <c r="I149" s="20"/>
    </row>
    <row r="150" spans="1:9" x14ac:dyDescent="0.15">
      <c r="A150" s="3">
        <v>1981</v>
      </c>
      <c r="B150" s="24">
        <f t="shared" si="2"/>
        <v>84124</v>
      </c>
      <c r="C150" s="20">
        <v>57005</v>
      </c>
      <c r="D150" s="20">
        <v>270</v>
      </c>
      <c r="E150" s="20">
        <v>24334</v>
      </c>
      <c r="F150" s="20">
        <v>2515</v>
      </c>
      <c r="G150" s="20"/>
      <c r="H150" s="20"/>
      <c r="I150" s="20"/>
    </row>
    <row r="151" spans="1:9" x14ac:dyDescent="0.15">
      <c r="A151" s="3">
        <v>1982</v>
      </c>
      <c r="B151" s="24">
        <f t="shared" si="2"/>
        <v>65929</v>
      </c>
      <c r="C151" s="20">
        <v>42864</v>
      </c>
      <c r="D151" s="20">
        <v>715</v>
      </c>
      <c r="E151" s="20">
        <v>19060</v>
      </c>
      <c r="F151" s="20">
        <v>3290</v>
      </c>
      <c r="G151" s="20"/>
      <c r="H151" s="20"/>
      <c r="I151" s="20"/>
    </row>
    <row r="152" spans="1:9" x14ac:dyDescent="0.15">
      <c r="A152" s="3">
        <v>1983</v>
      </c>
      <c r="B152" s="24">
        <f t="shared" si="2"/>
        <v>91111</v>
      </c>
      <c r="C152" s="20">
        <v>62323</v>
      </c>
      <c r="D152" s="20">
        <v>1270</v>
      </c>
      <c r="E152" s="20">
        <v>23498</v>
      </c>
      <c r="F152" s="20">
        <v>4020</v>
      </c>
      <c r="G152" s="20"/>
      <c r="H152" s="20"/>
      <c r="I152" s="20"/>
    </row>
    <row r="153" spans="1:9" x14ac:dyDescent="0.15">
      <c r="A153" s="3">
        <v>1984</v>
      </c>
      <c r="B153" s="24">
        <f t="shared" si="2"/>
        <v>75244</v>
      </c>
      <c r="C153" s="20">
        <v>36874</v>
      </c>
      <c r="D153" s="20">
        <v>1975</v>
      </c>
      <c r="E153" s="20">
        <v>22756</v>
      </c>
      <c r="F153" s="20">
        <v>13639</v>
      </c>
      <c r="G153" s="20"/>
      <c r="H153" s="20"/>
      <c r="I153" s="20"/>
    </row>
    <row r="154" spans="1:9" x14ac:dyDescent="0.15">
      <c r="A154" s="3">
        <v>1985</v>
      </c>
      <c r="B154" s="24">
        <f t="shared" si="2"/>
        <v>85517</v>
      </c>
      <c r="C154" s="20">
        <v>34803</v>
      </c>
      <c r="D154" s="20">
        <v>1610</v>
      </c>
      <c r="E154" s="20">
        <v>43782</v>
      </c>
      <c r="F154" s="20">
        <v>5322</v>
      </c>
      <c r="G154" s="20"/>
      <c r="H154" s="20"/>
      <c r="I154" s="20"/>
    </row>
    <row r="155" spans="1:9" x14ac:dyDescent="0.15">
      <c r="A155" s="3">
        <v>1986</v>
      </c>
      <c r="B155" s="24">
        <f t="shared" si="2"/>
        <v>122818</v>
      </c>
      <c r="C155" s="20">
        <v>33203</v>
      </c>
      <c r="D155" s="20">
        <v>3302</v>
      </c>
      <c r="E155" s="20">
        <v>81783</v>
      </c>
      <c r="F155" s="20">
        <v>4530</v>
      </c>
      <c r="G155" s="20"/>
      <c r="H155" s="20"/>
      <c r="I155" s="20"/>
    </row>
    <row r="156" spans="1:9" x14ac:dyDescent="0.15">
      <c r="A156" s="3">
        <v>1987</v>
      </c>
      <c r="B156" s="24">
        <f t="shared" si="2"/>
        <v>77129</v>
      </c>
      <c r="C156" s="20">
        <v>20000</v>
      </c>
      <c r="D156" s="20">
        <v>1060</v>
      </c>
      <c r="E156" s="20">
        <v>53664</v>
      </c>
      <c r="F156" s="20">
        <v>2405</v>
      </c>
      <c r="G156" s="20"/>
      <c r="H156" s="20"/>
      <c r="I156" s="20"/>
    </row>
    <row r="157" spans="1:9" x14ac:dyDescent="0.15">
      <c r="A157" s="3">
        <v>1988</v>
      </c>
      <c r="B157" s="24">
        <f t="shared" si="2"/>
        <v>112465</v>
      </c>
      <c r="C157" s="20">
        <v>20600</v>
      </c>
      <c r="D157" s="20">
        <v>455</v>
      </c>
      <c r="E157" s="20">
        <v>90510</v>
      </c>
      <c r="F157" s="20">
        <v>900</v>
      </c>
      <c r="G157" s="20"/>
      <c r="H157" s="20"/>
      <c r="I157" s="20"/>
    </row>
    <row r="158" spans="1:9" x14ac:dyDescent="0.15">
      <c r="A158" s="3">
        <v>1989</v>
      </c>
      <c r="B158" s="24">
        <f t="shared" si="2"/>
        <v>134761</v>
      </c>
      <c r="C158" s="20">
        <v>19000</v>
      </c>
      <c r="D158" s="20">
        <v>500</v>
      </c>
      <c r="E158" s="20">
        <v>115161</v>
      </c>
      <c r="F158" s="20">
        <v>100</v>
      </c>
      <c r="G158" s="20"/>
      <c r="H158" s="20"/>
      <c r="I158" s="20"/>
    </row>
    <row r="159" spans="1:9" x14ac:dyDescent="0.15">
      <c r="A159" s="3">
        <v>1990</v>
      </c>
      <c r="B159" s="24">
        <f t="shared" si="2"/>
        <v>127544</v>
      </c>
      <c r="C159" s="20">
        <v>18500</v>
      </c>
      <c r="D159" s="20">
        <v>860</v>
      </c>
      <c r="E159" s="20">
        <v>101316</v>
      </c>
      <c r="F159" s="20">
        <v>6868</v>
      </c>
      <c r="G159" s="20"/>
      <c r="H159" s="20"/>
      <c r="I159" s="20"/>
    </row>
    <row r="160" spans="1:9" x14ac:dyDescent="0.15">
      <c r="A160" s="3">
        <v>1991</v>
      </c>
      <c r="B160" s="24">
        <f t="shared" si="2"/>
        <v>220063</v>
      </c>
      <c r="C160" s="20">
        <v>76535</v>
      </c>
      <c r="D160" s="20">
        <v>0</v>
      </c>
      <c r="E160" s="20">
        <v>138210</v>
      </c>
      <c r="F160" s="20">
        <v>5318</v>
      </c>
      <c r="G160" s="20"/>
      <c r="H160" s="20"/>
      <c r="I160" s="20"/>
    </row>
    <row r="161" spans="1:9" x14ac:dyDescent="0.15">
      <c r="A161" s="3">
        <v>1992</v>
      </c>
      <c r="B161" s="24">
        <f t="shared" si="2"/>
        <v>309151</v>
      </c>
      <c r="C161" s="20">
        <v>130818</v>
      </c>
      <c r="D161" s="20">
        <v>0</v>
      </c>
      <c r="E161" s="21">
        <v>178333</v>
      </c>
      <c r="F161" s="20">
        <v>0</v>
      </c>
      <c r="G161" s="20"/>
      <c r="H161" s="20"/>
      <c r="I161" s="20"/>
    </row>
    <row r="162" spans="1:9" x14ac:dyDescent="0.15">
      <c r="A162" s="3">
        <v>1993</v>
      </c>
      <c r="B162" s="24">
        <f t="shared" si="2"/>
        <v>418938</v>
      </c>
      <c r="C162" s="20">
        <v>181417</v>
      </c>
      <c r="D162" s="20">
        <v>0</v>
      </c>
      <c r="E162" s="20">
        <v>237521</v>
      </c>
      <c r="F162" s="20">
        <v>0</v>
      </c>
      <c r="G162" s="20"/>
      <c r="H162" s="20"/>
      <c r="I162" s="20"/>
    </row>
    <row r="163" spans="1:9" x14ac:dyDescent="0.15">
      <c r="A163" s="3">
        <v>1994</v>
      </c>
      <c r="B163" s="24">
        <f t="shared" si="2"/>
        <v>384033</v>
      </c>
      <c r="C163" s="20">
        <v>157095</v>
      </c>
      <c r="D163" s="20">
        <v>0</v>
      </c>
      <c r="E163" s="20">
        <v>226938</v>
      </c>
      <c r="F163" s="20">
        <v>0</v>
      </c>
      <c r="G163" s="20"/>
      <c r="H163" s="20"/>
      <c r="I163" s="20"/>
    </row>
    <row r="164" spans="1:9" x14ac:dyDescent="0.15">
      <c r="A164" s="3">
        <v>1995</v>
      </c>
      <c r="B164" s="24">
        <f t="shared" si="2"/>
        <v>324586</v>
      </c>
      <c r="C164" s="20">
        <v>186956</v>
      </c>
      <c r="D164" s="20">
        <v>0</v>
      </c>
      <c r="E164" s="20">
        <v>137630</v>
      </c>
      <c r="F164" s="20">
        <v>0</v>
      </c>
      <c r="G164" s="20"/>
      <c r="H164" s="20"/>
      <c r="I164" s="20"/>
    </row>
    <row r="165" spans="1:9" x14ac:dyDescent="0.15">
      <c r="A165" s="3">
        <v>1996</v>
      </c>
      <c r="B165" s="24">
        <f t="shared" si="2"/>
        <v>329789</v>
      </c>
      <c r="C165" s="20">
        <v>149720</v>
      </c>
      <c r="D165" s="20">
        <v>2795</v>
      </c>
      <c r="E165" s="20">
        <v>169739</v>
      </c>
      <c r="F165" s="20">
        <v>7535</v>
      </c>
      <c r="G165" s="20"/>
      <c r="H165" s="20"/>
      <c r="I165" s="20"/>
    </row>
    <row r="166" spans="1:9" x14ac:dyDescent="0.15">
      <c r="A166" s="3">
        <v>1997</v>
      </c>
      <c r="B166" s="24">
        <f t="shared" si="2"/>
        <v>329015</v>
      </c>
      <c r="C166" s="20">
        <v>92820</v>
      </c>
      <c r="D166" s="20">
        <v>1261</v>
      </c>
      <c r="E166" s="20">
        <v>226888</v>
      </c>
      <c r="F166" s="20">
        <v>8046</v>
      </c>
      <c r="G166" s="20"/>
      <c r="H166" s="20"/>
      <c r="I166" s="20"/>
    </row>
    <row r="167" spans="1:9" x14ac:dyDescent="0.15">
      <c r="A167" s="3">
        <v>1998</v>
      </c>
      <c r="B167" s="24">
        <f t="shared" si="2"/>
        <v>388415</v>
      </c>
      <c r="C167" s="20">
        <v>112367</v>
      </c>
      <c r="D167" s="20">
        <v>820</v>
      </c>
      <c r="E167" s="20">
        <v>260403</v>
      </c>
      <c r="F167" s="20">
        <v>14825</v>
      </c>
      <c r="G167" s="20"/>
      <c r="H167" s="20"/>
      <c r="I167" s="20"/>
    </row>
    <row r="168" spans="1:9" x14ac:dyDescent="0.15">
      <c r="A168" s="3">
        <v>1999</v>
      </c>
      <c r="B168" s="24">
        <f t="shared" si="2"/>
        <v>360547</v>
      </c>
      <c r="C168" s="20">
        <v>125818</v>
      </c>
      <c r="D168" s="20">
        <v>390</v>
      </c>
      <c r="E168" s="20">
        <v>208574</v>
      </c>
      <c r="F168" s="20">
        <v>25765</v>
      </c>
      <c r="G168" s="20"/>
      <c r="H168" s="20"/>
      <c r="I168" s="20"/>
    </row>
    <row r="169" spans="1:9" x14ac:dyDescent="0.15">
      <c r="A169" s="3">
        <v>2000</v>
      </c>
      <c r="B169" s="24">
        <f t="shared" si="2"/>
        <v>322974</v>
      </c>
      <c r="C169" s="20">
        <v>64065</v>
      </c>
      <c r="D169" s="20">
        <v>860</v>
      </c>
      <c r="E169" s="20">
        <v>225557</v>
      </c>
      <c r="F169" s="20">
        <v>32492</v>
      </c>
      <c r="G169" s="20"/>
      <c r="H169" s="20"/>
      <c r="I169" s="20"/>
    </row>
    <row r="170" spans="1:9" x14ac:dyDescent="0.15">
      <c r="A170" s="3">
        <v>2001</v>
      </c>
      <c r="B170" s="24">
        <f t="shared" si="2"/>
        <v>379392</v>
      </c>
      <c r="C170" s="20">
        <v>102733</v>
      </c>
      <c r="D170" s="20">
        <v>2506</v>
      </c>
      <c r="E170" s="20">
        <v>245255</v>
      </c>
      <c r="F170" s="20">
        <v>28898</v>
      </c>
      <c r="G170" s="20"/>
      <c r="H170" s="20"/>
      <c r="I170" s="20"/>
    </row>
    <row r="171" spans="1:9" x14ac:dyDescent="0.15">
      <c r="A171" s="3">
        <v>2002</v>
      </c>
      <c r="B171" s="24">
        <f t="shared" si="2"/>
        <v>468945</v>
      </c>
      <c r="C171" s="20">
        <v>146432</v>
      </c>
      <c r="D171" s="20">
        <v>6341</v>
      </c>
      <c r="E171" s="20">
        <v>274004</v>
      </c>
      <c r="F171" s="20">
        <v>42168</v>
      </c>
      <c r="G171" s="20"/>
      <c r="H171" s="20"/>
      <c r="I171" s="20"/>
    </row>
    <row r="172" spans="1:9" x14ac:dyDescent="0.15">
      <c r="A172" s="3">
        <v>2003</v>
      </c>
      <c r="B172" s="24">
        <f t="shared" si="2"/>
        <v>526660</v>
      </c>
      <c r="C172" s="20">
        <v>127958</v>
      </c>
      <c r="D172" s="20">
        <v>3487</v>
      </c>
      <c r="E172" s="20">
        <v>370504</v>
      </c>
      <c r="F172" s="20">
        <v>24711</v>
      </c>
      <c r="G172" s="20"/>
      <c r="H172" s="20"/>
      <c r="I172" s="20"/>
    </row>
    <row r="173" spans="1:9" x14ac:dyDescent="0.15">
      <c r="A173" s="3">
        <v>2004</v>
      </c>
      <c r="B173" s="24">
        <f t="shared" si="2"/>
        <v>503348.09460000001</v>
      </c>
      <c r="C173" s="20">
        <v>168034</v>
      </c>
      <c r="D173" s="20">
        <v>7515</v>
      </c>
      <c r="E173" s="20">
        <v>304782.09460000001</v>
      </c>
      <c r="F173" s="20">
        <v>23017</v>
      </c>
      <c r="G173" s="20"/>
      <c r="H173" s="20"/>
      <c r="I173" s="20"/>
    </row>
    <row r="174" spans="1:9" x14ac:dyDescent="0.15">
      <c r="A174" s="3">
        <v>2005</v>
      </c>
      <c r="B174" s="24">
        <f t="shared" si="2"/>
        <v>506542</v>
      </c>
      <c r="C174" s="20">
        <v>105659</v>
      </c>
      <c r="D174" s="20">
        <v>6245</v>
      </c>
      <c r="E174" s="20">
        <v>363639</v>
      </c>
      <c r="F174" s="20">
        <v>30999</v>
      </c>
      <c r="G174" s="20"/>
      <c r="H174" s="20"/>
      <c r="I174" s="20"/>
    </row>
    <row r="175" spans="1:9" x14ac:dyDescent="0.15">
      <c r="A175" s="3">
        <v>2006</v>
      </c>
      <c r="B175" s="24">
        <f t="shared" si="2"/>
        <v>532278</v>
      </c>
      <c r="C175" s="20">
        <v>102454</v>
      </c>
      <c r="D175" s="20">
        <v>5327</v>
      </c>
      <c r="E175" s="20">
        <v>394037</v>
      </c>
      <c r="F175" s="20">
        <v>30460</v>
      </c>
      <c r="G175" s="20"/>
      <c r="H175" s="20"/>
      <c r="I175" s="20"/>
    </row>
    <row r="176" spans="1:9" x14ac:dyDescent="0.15">
      <c r="A176" s="3">
        <v>2007</v>
      </c>
      <c r="B176" s="24">
        <f t="shared" si="2"/>
        <v>773680</v>
      </c>
      <c r="C176" s="20">
        <v>73982</v>
      </c>
      <c r="D176" s="20">
        <v>2556</v>
      </c>
      <c r="E176" s="20">
        <v>643809</v>
      </c>
      <c r="F176" s="20">
        <v>53333</v>
      </c>
      <c r="G176" s="20"/>
      <c r="H176" s="20"/>
      <c r="I176" s="20"/>
    </row>
    <row r="177" spans="1:9" x14ac:dyDescent="0.15">
      <c r="A177" s="3">
        <v>2008</v>
      </c>
      <c r="B177" s="24">
        <f t="shared" si="2"/>
        <v>483383</v>
      </c>
      <c r="C177" s="20">
        <v>63198</v>
      </c>
      <c r="D177" s="20">
        <v>2145</v>
      </c>
      <c r="E177" s="20">
        <v>386453</v>
      </c>
      <c r="F177" s="20">
        <v>31587</v>
      </c>
      <c r="G177" s="20"/>
      <c r="H177" s="20"/>
      <c r="I177" s="20"/>
    </row>
    <row r="178" spans="1:9" x14ac:dyDescent="0.15">
      <c r="A178" s="3">
        <v>2009</v>
      </c>
      <c r="B178" s="24">
        <f t="shared" si="2"/>
        <v>710878.66999999993</v>
      </c>
      <c r="C178" s="20">
        <v>119659.2</v>
      </c>
      <c r="D178" s="20">
        <v>3165</v>
      </c>
      <c r="E178" s="20">
        <v>539391.47</v>
      </c>
      <c r="F178" s="20">
        <v>48663</v>
      </c>
      <c r="G178" s="20"/>
      <c r="H178" s="20"/>
      <c r="I178" s="20"/>
    </row>
    <row r="179" spans="1:9" x14ac:dyDescent="0.15">
      <c r="A179" s="3">
        <v>2010</v>
      </c>
      <c r="B179" s="24">
        <f t="shared" si="2"/>
        <v>652041</v>
      </c>
      <c r="C179" s="20">
        <v>83339</v>
      </c>
      <c r="D179" s="20">
        <v>4620</v>
      </c>
      <c r="E179" s="20">
        <v>538957</v>
      </c>
      <c r="F179" s="20">
        <v>25125</v>
      </c>
      <c r="G179" s="20"/>
      <c r="H179" s="20"/>
      <c r="I179" s="20"/>
    </row>
    <row r="180" spans="1:9" x14ac:dyDescent="0.15">
      <c r="A180" s="3">
        <v>2011</v>
      </c>
      <c r="B180" s="24">
        <f t="shared" si="2"/>
        <v>673404</v>
      </c>
      <c r="C180" s="20">
        <v>82779</v>
      </c>
      <c r="D180" s="20">
        <v>15595</v>
      </c>
      <c r="E180" s="20">
        <v>529044</v>
      </c>
      <c r="F180" s="20">
        <v>45986</v>
      </c>
      <c r="G180" s="20"/>
      <c r="H180" s="20"/>
      <c r="I180" s="20"/>
    </row>
    <row r="181" spans="1:9" x14ac:dyDescent="0.15">
      <c r="A181" s="3">
        <v>2012</v>
      </c>
      <c r="B181" s="24">
        <f t="shared" si="2"/>
        <v>591989</v>
      </c>
      <c r="C181" s="20">
        <v>96640</v>
      </c>
      <c r="D181" s="20">
        <v>18028</v>
      </c>
      <c r="E181" s="20">
        <v>413302</v>
      </c>
      <c r="F181" s="20">
        <v>64019</v>
      </c>
      <c r="G181" s="20"/>
      <c r="H181" s="20"/>
      <c r="I181" s="20"/>
    </row>
    <row r="182" spans="1:9" x14ac:dyDescent="0.15">
      <c r="A182" s="3">
        <v>2013</v>
      </c>
      <c r="B182" s="24">
        <f t="shared" si="2"/>
        <v>708613</v>
      </c>
      <c r="C182" s="20">
        <v>117077</v>
      </c>
      <c r="D182" s="20">
        <v>27015</v>
      </c>
      <c r="E182" s="20">
        <v>485263</v>
      </c>
      <c r="F182" s="20">
        <v>79258</v>
      </c>
      <c r="G182" s="20"/>
      <c r="H182" s="20"/>
      <c r="I182" s="20"/>
    </row>
    <row r="183" spans="1:9" x14ac:dyDescent="0.15">
      <c r="A183" s="3">
        <v>2014</v>
      </c>
      <c r="B183" s="24">
        <f t="shared" si="2"/>
        <v>820217</v>
      </c>
      <c r="C183" s="20">
        <v>153671</v>
      </c>
      <c r="D183" s="20">
        <v>44988</v>
      </c>
      <c r="E183" s="20">
        <v>522744</v>
      </c>
      <c r="F183" s="20">
        <v>98814</v>
      </c>
      <c r="G183" s="20"/>
      <c r="H183" s="20"/>
      <c r="I183" s="20"/>
    </row>
    <row r="184" spans="1:9" x14ac:dyDescent="0.15">
      <c r="A184" s="3">
        <v>2015</v>
      </c>
      <c r="B184" s="24">
        <f t="shared" si="2"/>
        <v>868286</v>
      </c>
      <c r="C184" s="20">
        <v>150404</v>
      </c>
      <c r="D184" s="20">
        <v>45069</v>
      </c>
      <c r="E184" s="20">
        <v>568058</v>
      </c>
      <c r="F184" s="20">
        <v>104755</v>
      </c>
      <c r="G184" s="20"/>
      <c r="H184" s="20"/>
      <c r="I184" s="20"/>
    </row>
    <row r="185" spans="1:9" x14ac:dyDescent="0.15">
      <c r="A185" s="3">
        <v>2016</v>
      </c>
      <c r="B185" s="24">
        <f t="shared" si="2"/>
        <v>796781</v>
      </c>
      <c r="C185" s="20">
        <v>127395</v>
      </c>
      <c r="D185" s="20">
        <v>27856</v>
      </c>
      <c r="E185" s="20">
        <v>537743</v>
      </c>
      <c r="F185" s="20">
        <v>103787</v>
      </c>
      <c r="G185" s="20"/>
      <c r="H185" s="20"/>
      <c r="I185" s="20"/>
    </row>
    <row r="186" spans="1:9" x14ac:dyDescent="0.15">
      <c r="A186" s="3">
        <v>2017</v>
      </c>
      <c r="B186" s="24">
        <f t="shared" si="2"/>
        <v>819356</v>
      </c>
      <c r="C186" s="20">
        <v>109973</v>
      </c>
      <c r="D186" s="20">
        <v>32541</v>
      </c>
      <c r="E186" s="20">
        <v>531979</v>
      </c>
      <c r="F186" s="20">
        <v>144863</v>
      </c>
      <c r="G186" s="20"/>
      <c r="H186" s="20"/>
      <c r="I186" s="20"/>
    </row>
    <row r="187" spans="1:9" x14ac:dyDescent="0.15">
      <c r="A187" s="3">
        <v>2018</v>
      </c>
      <c r="B187" s="24">
        <f t="shared" si="2"/>
        <v>879721</v>
      </c>
      <c r="C187" s="20">
        <v>72237</v>
      </c>
      <c r="D187" s="20">
        <v>32017</v>
      </c>
      <c r="E187" s="20">
        <v>634041</v>
      </c>
      <c r="F187" s="20">
        <v>141426</v>
      </c>
      <c r="G187" s="20"/>
      <c r="H187" s="20"/>
      <c r="I187" s="20"/>
    </row>
    <row r="188" spans="1:9" x14ac:dyDescent="0.15">
      <c r="A188" s="3">
        <v>2019</v>
      </c>
      <c r="B188" s="24">
        <f t="shared" si="2"/>
        <v>932562</v>
      </c>
      <c r="C188" s="20">
        <v>52519</v>
      </c>
      <c r="D188" s="20">
        <v>46695</v>
      </c>
      <c r="E188" s="20">
        <v>656752</v>
      </c>
      <c r="F188" s="20">
        <v>176596</v>
      </c>
      <c r="G188" s="20"/>
      <c r="H188" s="20"/>
      <c r="I188" s="20"/>
    </row>
    <row r="189" spans="1:9" x14ac:dyDescent="0.15">
      <c r="A189" s="3">
        <v>2020</v>
      </c>
      <c r="B189" s="24">
        <f t="shared" si="2"/>
        <v>1082617</v>
      </c>
      <c r="C189" s="22">
        <v>182221</v>
      </c>
      <c r="D189" s="22">
        <v>49839</v>
      </c>
      <c r="E189" s="22">
        <v>682946</v>
      </c>
      <c r="F189" s="22">
        <v>167611</v>
      </c>
      <c r="G189" s="22"/>
      <c r="H189" s="22"/>
      <c r="I189" s="22"/>
    </row>
    <row r="190" spans="1:9" x14ac:dyDescent="0.15">
      <c r="A190" s="18">
        <v>2021</v>
      </c>
      <c r="B190" s="25">
        <f t="shared" si="2"/>
        <v>1152257</v>
      </c>
      <c r="C190" s="23">
        <v>230421</v>
      </c>
      <c r="D190" s="23">
        <v>44812</v>
      </c>
      <c r="E190" s="23">
        <v>675764</v>
      </c>
      <c r="F190" s="23">
        <v>201260</v>
      </c>
      <c r="G190" s="23"/>
      <c r="H190" s="23"/>
      <c r="I190" s="23"/>
    </row>
  </sheetData>
  <mergeCells count="1">
    <mergeCell ref="B2:I2"/>
  </mergeCells>
  <hyperlinks>
    <hyperlink ref="A2" location="Front!A1" display="Front!A1" xr:uid="{05B29F8F-5E10-44A4-977A-2DC5E3F11529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5E23-858F-4043-8FBF-0C4D846C7F34}">
  <dimension ref="A1:I190"/>
  <sheetViews>
    <sheetView zoomScaleNormal="100" workbookViewId="0">
      <pane ySplit="3" topLeftCell="A4" activePane="bottomLeft" state="frozen"/>
      <selection activeCell="F1" sqref="F1"/>
      <selection pane="bottomLeft" activeCell="I4" sqref="I4"/>
    </sheetView>
  </sheetViews>
  <sheetFormatPr baseColWidth="10" defaultColWidth="10.6640625" defaultRowHeight="13" x14ac:dyDescent="0.15"/>
  <cols>
    <col min="1" max="1" width="10.6640625" style="1" customWidth="1"/>
    <col min="2" max="9" width="14.6640625" style="1" customWidth="1"/>
    <col min="10" max="248" width="8.83203125" style="1" customWidth="1"/>
    <col min="249" max="249" width="10.6640625" style="1" customWidth="1"/>
    <col min="250" max="265" width="14.6640625" style="1" customWidth="1"/>
    <col min="266" max="504" width="8.83203125" style="1" customWidth="1"/>
    <col min="505" max="505" width="10.6640625" style="1" customWidth="1"/>
    <col min="506" max="521" width="14.6640625" style="1" customWidth="1"/>
    <col min="522" max="760" width="8.83203125" style="1" customWidth="1"/>
    <col min="761" max="761" width="10.6640625" style="1" customWidth="1"/>
    <col min="762" max="777" width="14.6640625" style="1" customWidth="1"/>
    <col min="778" max="1016" width="8.83203125" style="1" customWidth="1"/>
    <col min="1017" max="1017" width="10.6640625" style="1" customWidth="1"/>
    <col min="1018" max="1033" width="14.6640625" style="1" customWidth="1"/>
    <col min="1034" max="1272" width="8.83203125" style="1" customWidth="1"/>
    <col min="1273" max="1273" width="10.6640625" style="1" customWidth="1"/>
    <col min="1274" max="1289" width="14.6640625" style="1" customWidth="1"/>
    <col min="1290" max="1528" width="8.83203125" style="1" customWidth="1"/>
    <col min="1529" max="1529" width="10.6640625" style="1" customWidth="1"/>
    <col min="1530" max="1545" width="14.6640625" style="1" customWidth="1"/>
    <col min="1546" max="1784" width="8.83203125" style="1" customWidth="1"/>
    <col min="1785" max="1785" width="10.6640625" style="1" customWidth="1"/>
    <col min="1786" max="1801" width="14.6640625" style="1" customWidth="1"/>
    <col min="1802" max="2040" width="8.83203125" style="1" customWidth="1"/>
    <col min="2041" max="2041" width="10.6640625" style="1" customWidth="1"/>
    <col min="2042" max="2057" width="14.6640625" style="1" customWidth="1"/>
    <col min="2058" max="2296" width="8.83203125" style="1" customWidth="1"/>
    <col min="2297" max="2297" width="10.6640625" style="1" customWidth="1"/>
    <col min="2298" max="2313" width="14.6640625" style="1" customWidth="1"/>
    <col min="2314" max="2552" width="8.83203125" style="1" customWidth="1"/>
    <col min="2553" max="2553" width="10.6640625" style="1" customWidth="1"/>
    <col min="2554" max="2569" width="14.6640625" style="1" customWidth="1"/>
    <col min="2570" max="2808" width="8.83203125" style="1" customWidth="1"/>
    <col min="2809" max="2809" width="10.6640625" style="1" customWidth="1"/>
    <col min="2810" max="2825" width="14.6640625" style="1" customWidth="1"/>
    <col min="2826" max="3064" width="8.83203125" style="1" customWidth="1"/>
    <col min="3065" max="3065" width="10.6640625" style="1" customWidth="1"/>
    <col min="3066" max="3081" width="14.6640625" style="1" customWidth="1"/>
    <col min="3082" max="3320" width="8.83203125" style="1" customWidth="1"/>
    <col min="3321" max="3321" width="10.6640625" style="1" customWidth="1"/>
    <col min="3322" max="3337" width="14.6640625" style="1" customWidth="1"/>
    <col min="3338" max="3576" width="8.83203125" style="1" customWidth="1"/>
    <col min="3577" max="3577" width="10.6640625" style="1" customWidth="1"/>
    <col min="3578" max="3593" width="14.6640625" style="1" customWidth="1"/>
    <col min="3594" max="3832" width="8.83203125" style="1" customWidth="1"/>
    <col min="3833" max="3833" width="10.6640625" style="1" customWidth="1"/>
    <col min="3834" max="3849" width="14.6640625" style="1" customWidth="1"/>
    <col min="3850" max="4088" width="8.83203125" style="1" customWidth="1"/>
    <col min="4089" max="4089" width="10.6640625" style="1" customWidth="1"/>
    <col min="4090" max="4105" width="14.6640625" style="1" customWidth="1"/>
    <col min="4106" max="4344" width="8.83203125" style="1" customWidth="1"/>
    <col min="4345" max="4345" width="10.6640625" style="1" customWidth="1"/>
    <col min="4346" max="4361" width="14.6640625" style="1" customWidth="1"/>
    <col min="4362" max="4600" width="8.83203125" style="1" customWidth="1"/>
    <col min="4601" max="4601" width="10.6640625" style="1" customWidth="1"/>
    <col min="4602" max="4617" width="14.6640625" style="1" customWidth="1"/>
    <col min="4618" max="4856" width="8.83203125" style="1" customWidth="1"/>
    <col min="4857" max="4857" width="10.6640625" style="1" customWidth="1"/>
    <col min="4858" max="4873" width="14.6640625" style="1" customWidth="1"/>
    <col min="4874" max="5112" width="8.83203125" style="1" customWidth="1"/>
    <col min="5113" max="5113" width="10.6640625" style="1" customWidth="1"/>
    <col min="5114" max="5129" width="14.6640625" style="1" customWidth="1"/>
    <col min="5130" max="5368" width="8.83203125" style="1" customWidth="1"/>
    <col min="5369" max="5369" width="10.6640625" style="1" customWidth="1"/>
    <col min="5370" max="5385" width="14.6640625" style="1" customWidth="1"/>
    <col min="5386" max="5624" width="8.83203125" style="1" customWidth="1"/>
    <col min="5625" max="5625" width="10.6640625" style="1" customWidth="1"/>
    <col min="5626" max="5641" width="14.6640625" style="1" customWidth="1"/>
    <col min="5642" max="5880" width="8.83203125" style="1" customWidth="1"/>
    <col min="5881" max="5881" width="10.6640625" style="1" customWidth="1"/>
    <col min="5882" max="5897" width="14.6640625" style="1" customWidth="1"/>
    <col min="5898" max="6136" width="8.83203125" style="1" customWidth="1"/>
    <col min="6137" max="6137" width="10.6640625" style="1" customWidth="1"/>
    <col min="6138" max="6153" width="14.6640625" style="1" customWidth="1"/>
    <col min="6154" max="6392" width="8.83203125" style="1" customWidth="1"/>
    <col min="6393" max="6393" width="10.6640625" style="1" customWidth="1"/>
    <col min="6394" max="6409" width="14.6640625" style="1" customWidth="1"/>
    <col min="6410" max="6648" width="8.83203125" style="1" customWidth="1"/>
    <col min="6649" max="6649" width="10.6640625" style="1" customWidth="1"/>
    <col min="6650" max="6665" width="14.6640625" style="1" customWidth="1"/>
    <col min="6666" max="6904" width="8.83203125" style="1" customWidth="1"/>
    <col min="6905" max="6905" width="10.6640625" style="1" customWidth="1"/>
    <col min="6906" max="6921" width="14.6640625" style="1" customWidth="1"/>
    <col min="6922" max="7160" width="8.83203125" style="1" customWidth="1"/>
    <col min="7161" max="7161" width="10.6640625" style="1" customWidth="1"/>
    <col min="7162" max="7177" width="14.6640625" style="1" customWidth="1"/>
    <col min="7178" max="7416" width="8.83203125" style="1" customWidth="1"/>
    <col min="7417" max="7417" width="10.6640625" style="1" customWidth="1"/>
    <col min="7418" max="7433" width="14.6640625" style="1" customWidth="1"/>
    <col min="7434" max="7672" width="8.83203125" style="1" customWidth="1"/>
    <col min="7673" max="7673" width="10.6640625" style="1" customWidth="1"/>
    <col min="7674" max="7689" width="14.6640625" style="1" customWidth="1"/>
    <col min="7690" max="7928" width="8.83203125" style="1" customWidth="1"/>
    <col min="7929" max="7929" width="10.6640625" style="1" customWidth="1"/>
    <col min="7930" max="7945" width="14.6640625" style="1" customWidth="1"/>
    <col min="7946" max="8184" width="8.83203125" style="1" customWidth="1"/>
    <col min="8185" max="8185" width="10.6640625" style="1" customWidth="1"/>
    <col min="8186" max="8201" width="14.6640625" style="1" customWidth="1"/>
    <col min="8202" max="8440" width="8.83203125" style="1" customWidth="1"/>
    <col min="8441" max="8441" width="10.6640625" style="1" customWidth="1"/>
    <col min="8442" max="8457" width="14.6640625" style="1" customWidth="1"/>
    <col min="8458" max="8696" width="8.83203125" style="1" customWidth="1"/>
    <col min="8697" max="8697" width="10.6640625" style="1" customWidth="1"/>
    <col min="8698" max="8713" width="14.6640625" style="1" customWidth="1"/>
    <col min="8714" max="8952" width="8.83203125" style="1" customWidth="1"/>
    <col min="8953" max="8953" width="10.6640625" style="1" customWidth="1"/>
    <col min="8954" max="8969" width="14.6640625" style="1" customWidth="1"/>
    <col min="8970" max="9208" width="8.83203125" style="1" customWidth="1"/>
    <col min="9209" max="9209" width="10.6640625" style="1" customWidth="1"/>
    <col min="9210" max="9225" width="14.6640625" style="1" customWidth="1"/>
    <col min="9226" max="9464" width="8.83203125" style="1" customWidth="1"/>
    <col min="9465" max="9465" width="10.6640625" style="1" customWidth="1"/>
    <col min="9466" max="9481" width="14.6640625" style="1" customWidth="1"/>
    <col min="9482" max="9720" width="8.83203125" style="1" customWidth="1"/>
    <col min="9721" max="9721" width="10.6640625" style="1" customWidth="1"/>
    <col min="9722" max="9737" width="14.6640625" style="1" customWidth="1"/>
    <col min="9738" max="9976" width="8.83203125" style="1" customWidth="1"/>
    <col min="9977" max="9977" width="10.6640625" style="1" customWidth="1"/>
    <col min="9978" max="9993" width="14.6640625" style="1" customWidth="1"/>
    <col min="9994" max="10232" width="8.83203125" style="1" customWidth="1"/>
    <col min="10233" max="10233" width="10.6640625" style="1" customWidth="1"/>
    <col min="10234" max="10249" width="14.6640625" style="1" customWidth="1"/>
    <col min="10250" max="10488" width="8.83203125" style="1" customWidth="1"/>
    <col min="10489" max="10489" width="10.6640625" style="1" customWidth="1"/>
    <col min="10490" max="10505" width="14.6640625" style="1" customWidth="1"/>
    <col min="10506" max="10744" width="8.83203125" style="1" customWidth="1"/>
    <col min="10745" max="10745" width="10.6640625" style="1" customWidth="1"/>
    <col min="10746" max="10761" width="14.6640625" style="1" customWidth="1"/>
    <col min="10762" max="11000" width="8.83203125" style="1" customWidth="1"/>
    <col min="11001" max="11001" width="10.6640625" style="1" customWidth="1"/>
    <col min="11002" max="11017" width="14.6640625" style="1" customWidth="1"/>
    <col min="11018" max="11256" width="8.83203125" style="1" customWidth="1"/>
    <col min="11257" max="11257" width="10.6640625" style="1" customWidth="1"/>
    <col min="11258" max="11273" width="14.6640625" style="1" customWidth="1"/>
    <col min="11274" max="11512" width="8.83203125" style="1" customWidth="1"/>
    <col min="11513" max="11513" width="10.6640625" style="1" customWidth="1"/>
    <col min="11514" max="11529" width="14.6640625" style="1" customWidth="1"/>
    <col min="11530" max="11768" width="8.83203125" style="1" customWidth="1"/>
    <col min="11769" max="11769" width="10.6640625" style="1" customWidth="1"/>
    <col min="11770" max="11785" width="14.6640625" style="1" customWidth="1"/>
    <col min="11786" max="12024" width="8.83203125" style="1" customWidth="1"/>
    <col min="12025" max="12025" width="10.6640625" style="1" customWidth="1"/>
    <col min="12026" max="12041" width="14.6640625" style="1" customWidth="1"/>
    <col min="12042" max="12280" width="8.83203125" style="1" customWidth="1"/>
    <col min="12281" max="12281" width="10.6640625" style="1" customWidth="1"/>
    <col min="12282" max="12297" width="14.6640625" style="1" customWidth="1"/>
    <col min="12298" max="12536" width="8.83203125" style="1" customWidth="1"/>
    <col min="12537" max="12537" width="10.6640625" style="1" customWidth="1"/>
    <col min="12538" max="12553" width="14.6640625" style="1" customWidth="1"/>
    <col min="12554" max="12792" width="8.83203125" style="1" customWidth="1"/>
    <col min="12793" max="12793" width="10.6640625" style="1" customWidth="1"/>
    <col min="12794" max="12809" width="14.6640625" style="1" customWidth="1"/>
    <col min="12810" max="13048" width="8.83203125" style="1" customWidth="1"/>
    <col min="13049" max="13049" width="10.6640625" style="1" customWidth="1"/>
    <col min="13050" max="13065" width="14.6640625" style="1" customWidth="1"/>
    <col min="13066" max="13304" width="8.83203125" style="1" customWidth="1"/>
    <col min="13305" max="13305" width="10.6640625" style="1" customWidth="1"/>
    <col min="13306" max="13321" width="14.6640625" style="1" customWidth="1"/>
    <col min="13322" max="13560" width="8.83203125" style="1" customWidth="1"/>
    <col min="13561" max="13561" width="10.6640625" style="1" customWidth="1"/>
    <col min="13562" max="13577" width="14.6640625" style="1" customWidth="1"/>
    <col min="13578" max="13816" width="8.83203125" style="1" customWidth="1"/>
    <col min="13817" max="13817" width="10.6640625" style="1" customWidth="1"/>
    <col min="13818" max="13833" width="14.6640625" style="1" customWidth="1"/>
    <col min="13834" max="14072" width="8.83203125" style="1" customWidth="1"/>
    <col min="14073" max="14073" width="10.6640625" style="1" customWidth="1"/>
    <col min="14074" max="14089" width="14.6640625" style="1" customWidth="1"/>
    <col min="14090" max="14328" width="8.83203125" style="1" customWidth="1"/>
    <col min="14329" max="14329" width="10.6640625" style="1" customWidth="1"/>
    <col min="14330" max="14345" width="14.6640625" style="1" customWidth="1"/>
    <col min="14346" max="14584" width="8.83203125" style="1" customWidth="1"/>
    <col min="14585" max="14585" width="10.6640625" style="1" customWidth="1"/>
    <col min="14586" max="14601" width="14.6640625" style="1" customWidth="1"/>
    <col min="14602" max="14840" width="8.83203125" style="1" customWidth="1"/>
    <col min="14841" max="14841" width="10.6640625" style="1" customWidth="1"/>
    <col min="14842" max="14857" width="14.6640625" style="1" customWidth="1"/>
    <col min="14858" max="15096" width="8.83203125" style="1" customWidth="1"/>
    <col min="15097" max="15097" width="10.6640625" style="1" customWidth="1"/>
    <col min="15098" max="15113" width="14.6640625" style="1" customWidth="1"/>
    <col min="15114" max="15352" width="8.83203125" style="1" customWidth="1"/>
    <col min="15353" max="15353" width="10.6640625" style="1" customWidth="1"/>
    <col min="15354" max="15369" width="14.6640625" style="1" customWidth="1"/>
    <col min="15370" max="15608" width="8.83203125" style="1" customWidth="1"/>
    <col min="15609" max="15609" width="10.6640625" style="1" customWidth="1"/>
    <col min="15610" max="15625" width="14.6640625" style="1" customWidth="1"/>
    <col min="15626" max="15864" width="8.83203125" style="1" customWidth="1"/>
    <col min="15865" max="15865" width="10.6640625" style="1" customWidth="1"/>
    <col min="15866" max="15881" width="14.6640625" style="1" customWidth="1"/>
    <col min="15882" max="16120" width="8.83203125" style="1" customWidth="1"/>
    <col min="16121" max="16121" width="10.6640625" style="1" customWidth="1"/>
    <col min="16122" max="16137" width="14.6640625" style="1" customWidth="1"/>
    <col min="16138" max="16384" width="8.83203125" style="1" customWidth="1"/>
  </cols>
  <sheetData>
    <row r="1" spans="1:9" x14ac:dyDescent="0.15">
      <c r="A1" s="4" t="s">
        <v>1</v>
      </c>
    </row>
    <row r="2" spans="1:9" ht="51" x14ac:dyDescent="0.15">
      <c r="A2" s="14" t="s">
        <v>5</v>
      </c>
      <c r="B2" s="28" t="s">
        <v>14</v>
      </c>
      <c r="C2" s="28"/>
      <c r="D2" s="28"/>
      <c r="E2" s="28"/>
      <c r="F2" s="28"/>
      <c r="G2" s="28"/>
      <c r="H2" s="28"/>
      <c r="I2" s="28"/>
    </row>
    <row r="3" spans="1:9" ht="80" customHeight="1" x14ac:dyDescent="0.15">
      <c r="A3" s="2" t="s">
        <v>0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29</v>
      </c>
      <c r="G3" s="2" t="s">
        <v>22</v>
      </c>
      <c r="H3" s="2" t="s">
        <v>23</v>
      </c>
      <c r="I3" s="2" t="s">
        <v>30</v>
      </c>
    </row>
    <row r="4" spans="1:9" x14ac:dyDescent="0.15">
      <c r="A4" s="3">
        <v>1835</v>
      </c>
      <c r="B4" s="27">
        <f>SUM(C4:I4)</f>
        <v>6</v>
      </c>
      <c r="C4" s="20"/>
      <c r="D4" s="26"/>
      <c r="E4" s="20">
        <v>6</v>
      </c>
      <c r="F4" s="20"/>
      <c r="G4" s="20"/>
      <c r="H4" s="20"/>
      <c r="I4" s="20"/>
    </row>
    <row r="5" spans="1:9" x14ac:dyDescent="0.15">
      <c r="A5" s="3">
        <v>1836</v>
      </c>
      <c r="B5" s="27">
        <f t="shared" ref="B5:B68" si="0">SUM(C5:I5)</f>
        <v>5.88</v>
      </c>
      <c r="C5" s="20"/>
      <c r="D5" s="26"/>
      <c r="E5" s="20">
        <v>5.88</v>
      </c>
      <c r="F5" s="20"/>
      <c r="G5" s="20"/>
      <c r="H5" s="20"/>
      <c r="I5" s="20"/>
    </row>
    <row r="6" spans="1:9" x14ac:dyDescent="0.15">
      <c r="A6" s="3">
        <v>1837</v>
      </c>
      <c r="B6" s="27">
        <f t="shared" si="0"/>
        <v>5.7624000000000004</v>
      </c>
      <c r="C6" s="20"/>
      <c r="D6" s="26"/>
      <c r="E6" s="20">
        <v>5.7624000000000004</v>
      </c>
      <c r="F6" s="20"/>
      <c r="G6" s="20"/>
      <c r="H6" s="20"/>
      <c r="I6" s="20"/>
    </row>
    <row r="7" spans="1:9" x14ac:dyDescent="0.15">
      <c r="A7" s="3">
        <v>1838</v>
      </c>
      <c r="B7" s="27">
        <f t="shared" si="0"/>
        <v>5.6471520000000002</v>
      </c>
      <c r="C7" s="20"/>
      <c r="D7" s="26"/>
      <c r="E7" s="20">
        <v>5.6471520000000002</v>
      </c>
      <c r="F7" s="20"/>
      <c r="G7" s="20"/>
      <c r="H7" s="20"/>
      <c r="I7" s="20"/>
    </row>
    <row r="8" spans="1:9" x14ac:dyDescent="0.15">
      <c r="A8" s="3">
        <v>1839</v>
      </c>
      <c r="B8" s="27">
        <f t="shared" si="0"/>
        <v>13.534208960000001</v>
      </c>
      <c r="C8" s="20"/>
      <c r="D8" s="26"/>
      <c r="E8" s="20">
        <v>13.534208960000001</v>
      </c>
      <c r="F8" s="20"/>
      <c r="G8" s="20"/>
      <c r="H8" s="20"/>
      <c r="I8" s="20"/>
    </row>
    <row r="9" spans="1:9" x14ac:dyDescent="0.15">
      <c r="A9" s="3">
        <v>1840</v>
      </c>
      <c r="B9" s="27">
        <f t="shared" si="0"/>
        <v>13.263524780799999</v>
      </c>
      <c r="C9" s="20"/>
      <c r="D9" s="26"/>
      <c r="E9" s="20">
        <v>13.263524780799999</v>
      </c>
      <c r="F9" s="20"/>
      <c r="G9" s="20"/>
      <c r="H9" s="20"/>
      <c r="I9" s="20"/>
    </row>
    <row r="10" spans="1:9" x14ac:dyDescent="0.15">
      <c r="A10" s="3">
        <v>1841</v>
      </c>
      <c r="B10" s="27">
        <f t="shared" si="0"/>
        <v>12.998254285184</v>
      </c>
      <c r="C10" s="20"/>
      <c r="D10" s="26"/>
      <c r="E10" s="20">
        <v>12.998254285184</v>
      </c>
      <c r="F10" s="20"/>
      <c r="G10" s="20"/>
      <c r="H10" s="20"/>
      <c r="I10" s="20"/>
    </row>
    <row r="11" spans="1:9" x14ac:dyDescent="0.15">
      <c r="A11" s="3">
        <v>1842</v>
      </c>
      <c r="B11" s="27">
        <f t="shared" si="0"/>
        <v>12.73828919948032</v>
      </c>
      <c r="C11" s="20"/>
      <c r="D11" s="26"/>
      <c r="E11" s="20">
        <v>12.73828919948032</v>
      </c>
      <c r="F11" s="20"/>
      <c r="G11" s="20"/>
      <c r="H11" s="20"/>
      <c r="I11" s="20"/>
    </row>
    <row r="12" spans="1:9" x14ac:dyDescent="0.15">
      <c r="A12" s="3">
        <v>1843</v>
      </c>
      <c r="B12" s="27">
        <f t="shared" si="0"/>
        <v>12.483523415490714</v>
      </c>
      <c r="C12" s="20"/>
      <c r="D12" s="26"/>
      <c r="E12" s="20">
        <v>12.483523415490714</v>
      </c>
      <c r="F12" s="20"/>
      <c r="G12" s="20"/>
      <c r="H12" s="20"/>
      <c r="I12" s="20"/>
    </row>
    <row r="13" spans="1:9" x14ac:dyDescent="0.15">
      <c r="A13" s="3">
        <v>1844</v>
      </c>
      <c r="B13" s="27">
        <f t="shared" si="0"/>
        <v>12.2338529471809</v>
      </c>
      <c r="C13" s="20"/>
      <c r="D13" s="26"/>
      <c r="E13" s="20">
        <v>12.2338529471809</v>
      </c>
      <c r="F13" s="20"/>
      <c r="G13" s="20"/>
      <c r="H13" s="20"/>
      <c r="I13" s="20"/>
    </row>
    <row r="14" spans="1:9" x14ac:dyDescent="0.15">
      <c r="A14" s="3">
        <v>1845</v>
      </c>
      <c r="B14" s="27">
        <f t="shared" si="0"/>
        <v>11.989175888237281</v>
      </c>
      <c r="C14" s="20"/>
      <c r="D14" s="26"/>
      <c r="E14" s="20">
        <v>11.989175888237281</v>
      </c>
      <c r="F14" s="20"/>
      <c r="G14" s="20"/>
      <c r="H14" s="20"/>
      <c r="I14" s="20"/>
    </row>
    <row r="15" spans="1:9" x14ac:dyDescent="0.15">
      <c r="A15" s="3">
        <v>1846</v>
      </c>
      <c r="B15" s="27">
        <f t="shared" si="0"/>
        <v>25.082725370472534</v>
      </c>
      <c r="C15" s="20"/>
      <c r="D15" s="26"/>
      <c r="E15" s="20">
        <v>25.082725370472534</v>
      </c>
      <c r="F15" s="20"/>
      <c r="G15" s="20"/>
      <c r="H15" s="20"/>
      <c r="I15" s="20"/>
    </row>
    <row r="16" spans="1:9" x14ac:dyDescent="0.15">
      <c r="A16" s="3">
        <v>1847</v>
      </c>
      <c r="B16" s="27">
        <f t="shared" si="0"/>
        <v>24.581070863063086</v>
      </c>
      <c r="C16" s="20"/>
      <c r="D16" s="26"/>
      <c r="E16" s="20">
        <v>24.581070863063086</v>
      </c>
      <c r="F16" s="20"/>
      <c r="G16" s="20"/>
      <c r="H16" s="20"/>
      <c r="I16" s="20"/>
    </row>
    <row r="17" spans="1:9" x14ac:dyDescent="0.15">
      <c r="A17" s="3">
        <v>1848</v>
      </c>
      <c r="B17" s="27">
        <f t="shared" si="0"/>
        <v>24.089449445801826</v>
      </c>
      <c r="C17" s="20"/>
      <c r="D17" s="26"/>
      <c r="E17" s="20">
        <v>24.089449445801826</v>
      </c>
      <c r="F17" s="20"/>
      <c r="G17" s="20"/>
      <c r="H17" s="20"/>
      <c r="I17" s="20"/>
    </row>
    <row r="18" spans="1:9" x14ac:dyDescent="0.15">
      <c r="A18" s="3">
        <v>1849</v>
      </c>
      <c r="B18" s="27">
        <f t="shared" si="0"/>
        <v>30.549326456885787</v>
      </c>
      <c r="C18" s="20"/>
      <c r="D18" s="26">
        <v>0.27500000000000002</v>
      </c>
      <c r="E18" s="20">
        <v>30.274326456885788</v>
      </c>
      <c r="F18" s="20"/>
      <c r="G18" s="20"/>
      <c r="H18" s="20"/>
      <c r="I18" s="20"/>
    </row>
    <row r="19" spans="1:9" x14ac:dyDescent="0.15">
      <c r="A19" s="3">
        <v>1850</v>
      </c>
      <c r="B19" s="27">
        <f t="shared" si="0"/>
        <v>31.810239927748075</v>
      </c>
      <c r="C19" s="20"/>
      <c r="D19" s="26">
        <v>0.26950000000000002</v>
      </c>
      <c r="E19" s="20">
        <v>31.540739927748074</v>
      </c>
      <c r="F19" s="20"/>
      <c r="G19" s="20"/>
      <c r="H19" s="20"/>
      <c r="I19" s="20"/>
    </row>
    <row r="20" spans="1:9" x14ac:dyDescent="0.15">
      <c r="A20" s="3">
        <v>1851</v>
      </c>
      <c r="B20" s="27">
        <f t="shared" si="0"/>
        <v>48.907368129193117</v>
      </c>
      <c r="C20" s="20"/>
      <c r="D20" s="26">
        <v>0.26411000000000001</v>
      </c>
      <c r="E20" s="20">
        <v>48.643258129193114</v>
      </c>
      <c r="F20" s="20"/>
      <c r="G20" s="20"/>
      <c r="H20" s="20"/>
      <c r="I20" s="20"/>
    </row>
    <row r="21" spans="1:9" x14ac:dyDescent="0.15">
      <c r="A21" s="3">
        <v>1852</v>
      </c>
      <c r="B21" s="27">
        <f t="shared" si="0"/>
        <v>62.767886766609244</v>
      </c>
      <c r="C21" s="20"/>
      <c r="D21" s="26">
        <v>0.2588278</v>
      </c>
      <c r="E21" s="20">
        <v>62.509058966609246</v>
      </c>
      <c r="F21" s="20"/>
      <c r="G21" s="20"/>
      <c r="H21" s="20"/>
      <c r="I21" s="20"/>
    </row>
    <row r="22" spans="1:9" x14ac:dyDescent="0.15">
      <c r="A22" s="3">
        <v>1853</v>
      </c>
      <c r="B22" s="27">
        <f t="shared" si="0"/>
        <v>61.512529031277055</v>
      </c>
      <c r="C22" s="20"/>
      <c r="D22" s="26">
        <v>0.253651244</v>
      </c>
      <c r="E22" s="20">
        <v>61.258877787277058</v>
      </c>
      <c r="F22" s="20"/>
      <c r="G22" s="20"/>
      <c r="H22" s="20"/>
      <c r="I22" s="20"/>
    </row>
    <row r="23" spans="1:9" x14ac:dyDescent="0.15">
      <c r="A23" s="3">
        <v>1854</v>
      </c>
      <c r="B23" s="27">
        <f t="shared" si="0"/>
        <v>73.470078450651513</v>
      </c>
      <c r="C23" s="20">
        <v>0.28189999999999998</v>
      </c>
      <c r="D23" s="26">
        <v>0.24857821911999997</v>
      </c>
      <c r="E23" s="20">
        <v>72.939600231531514</v>
      </c>
      <c r="F23" s="20"/>
      <c r="G23" s="20"/>
      <c r="H23" s="20"/>
      <c r="I23" s="20"/>
    </row>
    <row r="24" spans="1:9" x14ac:dyDescent="0.15">
      <c r="A24" s="3">
        <v>1855</v>
      </c>
      <c r="B24" s="27">
        <f t="shared" si="0"/>
        <v>73.000394881638485</v>
      </c>
      <c r="C24" s="20">
        <v>0.27598</v>
      </c>
      <c r="D24" s="26">
        <v>0.24360665473759996</v>
      </c>
      <c r="E24" s="20">
        <v>71.480808226900891</v>
      </c>
      <c r="F24" s="20">
        <v>0.5</v>
      </c>
      <c r="G24" s="20"/>
      <c r="H24" s="20"/>
      <c r="I24" s="20">
        <v>0.5</v>
      </c>
    </row>
    <row r="25" spans="1:9" x14ac:dyDescent="0.15">
      <c r="A25" s="3">
        <v>1856</v>
      </c>
      <c r="B25" s="27">
        <f t="shared" si="0"/>
        <v>71.990111584005717</v>
      </c>
      <c r="C25" s="20">
        <v>0.27018500000000001</v>
      </c>
      <c r="D25" s="26">
        <v>0.23873452164284795</v>
      </c>
      <c r="E25" s="20">
        <v>70.051192062362858</v>
      </c>
      <c r="F25" s="20">
        <v>0.71499999999999997</v>
      </c>
      <c r="G25" s="20"/>
      <c r="H25" s="20"/>
      <c r="I25" s="20">
        <v>0.71499999999999997</v>
      </c>
    </row>
    <row r="26" spans="1:9" x14ac:dyDescent="0.15">
      <c r="A26" s="3">
        <v>1857</v>
      </c>
      <c r="B26" s="27">
        <f t="shared" si="0"/>
        <v>70.478539052325601</v>
      </c>
      <c r="C26" s="20">
        <v>0.264511</v>
      </c>
      <c r="D26" s="26">
        <v>0.23395983120999098</v>
      </c>
      <c r="E26" s="20">
        <v>68.650168221115607</v>
      </c>
      <c r="F26" s="20">
        <v>0.66495000000000004</v>
      </c>
      <c r="G26" s="20"/>
      <c r="H26" s="20"/>
      <c r="I26" s="20">
        <v>0.66495000000000004</v>
      </c>
    </row>
    <row r="27" spans="1:9" x14ac:dyDescent="0.15">
      <c r="A27" s="3">
        <v>1858</v>
      </c>
      <c r="B27" s="27">
        <f t="shared" si="0"/>
        <v>107.70381916127909</v>
      </c>
      <c r="C27" s="20">
        <v>22.100300000000001</v>
      </c>
      <c r="D27" s="26">
        <v>0.32928063458579115</v>
      </c>
      <c r="E27" s="20">
        <v>83.897431526693296</v>
      </c>
      <c r="F27" s="20">
        <v>0.68840349999999995</v>
      </c>
      <c r="G27" s="20"/>
      <c r="H27" s="20">
        <v>7.0000000000000007E-2</v>
      </c>
      <c r="I27" s="20">
        <v>0.61840349999999999</v>
      </c>
    </row>
    <row r="28" spans="1:9" x14ac:dyDescent="0.15">
      <c r="A28" s="3">
        <v>1859</v>
      </c>
      <c r="B28" s="27">
        <f t="shared" si="0"/>
        <v>106.81840842805349</v>
      </c>
      <c r="C28" s="20">
        <v>21.636199999999999</v>
      </c>
      <c r="D28" s="26">
        <v>0.39269502189407535</v>
      </c>
      <c r="E28" s="20">
        <v>83.507682896159423</v>
      </c>
      <c r="F28" s="20">
        <v>0.64091525500000002</v>
      </c>
      <c r="G28" s="20"/>
      <c r="H28" s="20">
        <v>6.5799999999999997E-2</v>
      </c>
      <c r="I28" s="20">
        <v>0.57511525500000005</v>
      </c>
    </row>
    <row r="29" spans="1:9" x14ac:dyDescent="0.15">
      <c r="A29" s="3">
        <v>1860</v>
      </c>
      <c r="B29" s="27">
        <f t="shared" si="0"/>
        <v>137.17762206399243</v>
      </c>
      <c r="C29" s="20">
        <v>47.848500000000001</v>
      </c>
      <c r="D29" s="26">
        <v>0.96484112145619372</v>
      </c>
      <c r="E29" s="20">
        <v>87.170862568236231</v>
      </c>
      <c r="F29" s="20">
        <v>0.59670918714999999</v>
      </c>
      <c r="G29" s="20"/>
      <c r="H29" s="20">
        <v>6.1851999999999997E-2</v>
      </c>
      <c r="I29" s="20">
        <v>0.53485718714999997</v>
      </c>
    </row>
    <row r="30" spans="1:9" x14ac:dyDescent="0.15">
      <c r="A30" s="3">
        <v>1861</v>
      </c>
      <c r="B30" s="27">
        <f t="shared" si="0"/>
        <v>188.4760724139976</v>
      </c>
      <c r="C30" s="20">
        <v>49.843699999999998</v>
      </c>
      <c r="D30" s="26">
        <v>5.1055442990270699</v>
      </c>
      <c r="E30" s="20">
        <v>128.6157119868715</v>
      </c>
      <c r="F30" s="20">
        <v>2.4555580640494998</v>
      </c>
      <c r="G30" s="20"/>
      <c r="H30" s="20">
        <v>1.95814088</v>
      </c>
      <c r="I30" s="20">
        <v>0.49741718404949997</v>
      </c>
    </row>
    <row r="31" spans="1:9" x14ac:dyDescent="0.15">
      <c r="A31" s="3">
        <v>1862</v>
      </c>
      <c r="B31" s="27">
        <f t="shared" si="0"/>
        <v>225.50093197691268</v>
      </c>
      <c r="C31" s="20">
        <v>48.796999999999997</v>
      </c>
      <c r="D31" s="26">
        <v>5.248433413046528</v>
      </c>
      <c r="E31" s="20">
        <v>157.84899774713409</v>
      </c>
      <c r="F31" s="20">
        <v>6.8032504083660346</v>
      </c>
      <c r="G31" s="20">
        <v>1.5</v>
      </c>
      <c r="H31" s="20">
        <v>4.8406524272000002</v>
      </c>
      <c r="I31" s="20">
        <v>0.46259798116603495</v>
      </c>
    </row>
    <row r="32" spans="1:9" x14ac:dyDescent="0.15">
      <c r="A32" s="3">
        <v>1863</v>
      </c>
      <c r="B32" s="27">
        <f t="shared" si="0"/>
        <v>225.82854134508185</v>
      </c>
      <c r="C32" s="20">
        <v>50.772199999999998</v>
      </c>
      <c r="D32" s="26">
        <v>5.4934647447855962</v>
      </c>
      <c r="E32" s="20">
        <v>154.69201779219142</v>
      </c>
      <c r="F32" s="20">
        <v>7.4354294040524112</v>
      </c>
      <c r="G32" s="20">
        <v>1.4550000000000001</v>
      </c>
      <c r="H32" s="20">
        <v>5.5502132815679994</v>
      </c>
      <c r="I32" s="20">
        <v>0.43021612248441243</v>
      </c>
    </row>
    <row r="33" spans="1:9" x14ac:dyDescent="0.15">
      <c r="A33" s="3">
        <v>1864</v>
      </c>
      <c r="B33" s="27">
        <f t="shared" si="0"/>
        <v>261.58667584340628</v>
      </c>
      <c r="C33" s="20">
        <v>59.597499999999997</v>
      </c>
      <c r="D33" s="26">
        <v>6.3235954498898845</v>
      </c>
      <c r="E33" s="20">
        <v>181.00827743634758</v>
      </c>
      <c r="F33" s="20">
        <v>7.3286514785844226</v>
      </c>
      <c r="G33" s="20">
        <v>1.4113500000000001</v>
      </c>
      <c r="H33" s="20">
        <v>5.5172004846739195</v>
      </c>
      <c r="I33" s="20">
        <v>0.40010099391050358</v>
      </c>
    </row>
    <row r="34" spans="1:9" x14ac:dyDescent="0.15">
      <c r="A34" s="3">
        <v>1865</v>
      </c>
      <c r="B34" s="27">
        <f t="shared" si="0"/>
        <v>260.36067918837324</v>
      </c>
      <c r="C34" s="20">
        <v>58.3459</v>
      </c>
      <c r="D34" s="26">
        <v>10.772123540892087</v>
      </c>
      <c r="E34" s="20">
        <v>177.38811188762062</v>
      </c>
      <c r="F34" s="20">
        <v>6.9272718799302524</v>
      </c>
      <c r="G34" s="20">
        <v>1.3690095</v>
      </c>
      <c r="H34" s="20">
        <v>5.1861684555934833</v>
      </c>
      <c r="I34" s="20">
        <v>0.3720939243367683</v>
      </c>
    </row>
    <row r="35" spans="1:9" x14ac:dyDescent="0.15">
      <c r="A35" s="3">
        <v>1866</v>
      </c>
      <c r="B35" s="27">
        <f t="shared" si="0"/>
        <v>281.81380054572458</v>
      </c>
      <c r="C35" s="20">
        <v>83.606800000000007</v>
      </c>
      <c r="D35" s="26">
        <v>11.056681070074246</v>
      </c>
      <c r="E35" s="20">
        <v>173.84034964986822</v>
      </c>
      <c r="F35" s="20">
        <v>6.6549849128910683</v>
      </c>
      <c r="G35" s="20">
        <v>1.3279392149999998</v>
      </c>
      <c r="H35" s="20">
        <v>4.9809983482578746</v>
      </c>
      <c r="I35" s="20">
        <v>0.34604734963319445</v>
      </c>
    </row>
    <row r="36" spans="1:9" x14ac:dyDescent="0.15">
      <c r="A36" s="3">
        <v>1867</v>
      </c>
      <c r="B36" s="27">
        <f t="shared" si="0"/>
        <v>282.75421714768612</v>
      </c>
      <c r="C36" s="20">
        <v>81.850999999999999</v>
      </c>
      <c r="D36" s="26">
        <v>14.65554744867276</v>
      </c>
      <c r="E36" s="20">
        <v>172.86354265687083</v>
      </c>
      <c r="F36" s="20">
        <v>6.6920635210712716</v>
      </c>
      <c r="G36" s="20">
        <v>1.2881010385499998</v>
      </c>
      <c r="H36" s="20">
        <v>5.0821384473624018</v>
      </c>
      <c r="I36" s="20">
        <v>0.32182403515887081</v>
      </c>
    </row>
    <row r="37" spans="1:9" x14ac:dyDescent="0.15">
      <c r="A37" s="3">
        <v>1868</v>
      </c>
      <c r="B37" s="27">
        <f t="shared" si="0"/>
        <v>307.87163730465653</v>
      </c>
      <c r="C37" s="20">
        <v>100.83199999999999</v>
      </c>
      <c r="D37" s="26">
        <v>14.981436499699306</v>
      </c>
      <c r="E37" s="20">
        <v>179.4062718037334</v>
      </c>
      <c r="F37" s="20">
        <v>6.3259645006119065</v>
      </c>
      <c r="G37" s="20">
        <v>1.2494580073934995</v>
      </c>
      <c r="H37" s="20">
        <v>4.7772101405206575</v>
      </c>
      <c r="I37" s="20">
        <v>0.29929635269774979</v>
      </c>
    </row>
    <row r="38" spans="1:9" x14ac:dyDescent="0.15">
      <c r="A38" s="3">
        <v>1869</v>
      </c>
      <c r="B38" s="27">
        <f t="shared" si="0"/>
        <v>330.8102489519041</v>
      </c>
      <c r="C38" s="20">
        <v>102.715</v>
      </c>
      <c r="D38" s="26">
        <v>20.015307769705316</v>
      </c>
      <c r="E38" s="20">
        <v>195.81814636765873</v>
      </c>
      <c r="F38" s="20">
        <v>6.1308974072700195</v>
      </c>
      <c r="G38" s="20">
        <v>1.2119742671716947</v>
      </c>
      <c r="H38" s="20">
        <v>4.6405775320894174</v>
      </c>
      <c r="I38" s="20">
        <v>0.27834560800890729</v>
      </c>
    </row>
    <row r="39" spans="1:9" x14ac:dyDescent="0.15">
      <c r="A39" s="3">
        <v>1870</v>
      </c>
      <c r="B39" s="27">
        <f t="shared" si="0"/>
        <v>364.00802372415455</v>
      </c>
      <c r="C39" s="20">
        <v>140.55799999999999</v>
      </c>
      <c r="D39" s="26">
        <v>19.955001614311211</v>
      </c>
      <c r="E39" s="20">
        <v>191.90178344030556</v>
      </c>
      <c r="F39" s="20">
        <v>5.7966193347688799</v>
      </c>
      <c r="G39" s="20">
        <v>1.1756150391565439</v>
      </c>
      <c r="H39" s="20">
        <v>4.3621428801640523</v>
      </c>
      <c r="I39" s="20">
        <v>0.25886141544828378</v>
      </c>
    </row>
    <row r="40" spans="1:9" x14ac:dyDescent="0.15">
      <c r="A40" s="3">
        <v>1871</v>
      </c>
      <c r="B40" s="27">
        <f t="shared" si="0"/>
        <v>400.09815337693038</v>
      </c>
      <c r="C40" s="20">
        <v>137.60599999999999</v>
      </c>
      <c r="D40" s="20">
        <v>21.593901582024987</v>
      </c>
      <c r="E40" s="20">
        <v>224.33524777149947</v>
      </c>
      <c r="F40" s="20">
        <v>8.2815020117029601</v>
      </c>
      <c r="G40" s="20">
        <v>1.1403465879818473</v>
      </c>
      <c r="H40" s="20">
        <v>6.9004143073542092</v>
      </c>
      <c r="I40" s="20">
        <v>0.2407411163669039</v>
      </c>
    </row>
    <row r="41" spans="1:9" x14ac:dyDescent="0.15">
      <c r="A41" s="3">
        <v>1872</v>
      </c>
      <c r="B41" s="27">
        <f t="shared" si="0"/>
        <v>481.74529612140708</v>
      </c>
      <c r="C41" s="20">
        <v>158.71600000000001</v>
      </c>
      <c r="D41" s="20">
        <v>25.030023550384488</v>
      </c>
      <c r="E41" s="20">
        <v>241.58964281606944</v>
      </c>
      <c r="F41" s="20">
        <v>28.204814877476569</v>
      </c>
      <c r="G41" s="20">
        <v>15.294536190342393</v>
      </c>
      <c r="H41" s="20">
        <v>12.686389448912955</v>
      </c>
      <c r="I41" s="20">
        <v>0.22388923822122062</v>
      </c>
    </row>
    <row r="42" spans="1:9" x14ac:dyDescent="0.15">
      <c r="A42" s="3">
        <v>1873</v>
      </c>
      <c r="B42" s="27">
        <f t="shared" si="0"/>
        <v>613.83351939543695</v>
      </c>
      <c r="C42" s="20">
        <v>155.38300000000001</v>
      </c>
      <c r="D42" s="20">
        <v>29.094423079376799</v>
      </c>
      <c r="E42" s="20">
        <v>236.75784995974806</v>
      </c>
      <c r="F42" s="20">
        <v>96.299123178156051</v>
      </c>
      <c r="G42" s="20">
        <v>78.365700104632126</v>
      </c>
      <c r="H42" s="20">
        <v>17.725206081978179</v>
      </c>
      <c r="I42" s="20">
        <v>0.20821699154573517</v>
      </c>
    </row>
    <row r="43" spans="1:9" x14ac:dyDescent="0.15">
      <c r="A43" s="3">
        <v>1874</v>
      </c>
      <c r="B43" s="27">
        <f t="shared" si="0"/>
        <v>683.41255681972257</v>
      </c>
      <c r="C43" s="20">
        <v>152.12</v>
      </c>
      <c r="D43" s="20">
        <v>30.51253461778926</v>
      </c>
      <c r="E43" s="20">
        <v>270.43989296055304</v>
      </c>
      <c r="F43" s="20">
        <v>115.17006462069018</v>
      </c>
      <c r="G43" s="20">
        <v>86.01472910149316</v>
      </c>
      <c r="H43" s="20">
        <v>22.961693717059486</v>
      </c>
      <c r="I43" s="20">
        <v>6.1936418021375346</v>
      </c>
    </row>
    <row r="44" spans="1:9" x14ac:dyDescent="0.15">
      <c r="A44" s="3">
        <v>1875</v>
      </c>
      <c r="B44" s="27">
        <f t="shared" si="0"/>
        <v>725.66511142371974</v>
      </c>
      <c r="C44" s="20">
        <v>185.80699999999999</v>
      </c>
      <c r="D44" s="20">
        <v>32.562283925433476</v>
      </c>
      <c r="E44" s="20">
        <v>265.03109510134198</v>
      </c>
      <c r="F44" s="20">
        <v>121.13236619847218</v>
      </c>
      <c r="G44" s="20">
        <v>84.868287228448366</v>
      </c>
      <c r="H44" s="20">
        <v>30.503992094035915</v>
      </c>
      <c r="I44" s="20">
        <v>5.7600868759879056</v>
      </c>
    </row>
    <row r="45" spans="1:9" x14ac:dyDescent="0.15">
      <c r="A45" s="3">
        <v>1876</v>
      </c>
      <c r="B45" s="27">
        <f t="shared" si="0"/>
        <v>759.65425539555486</v>
      </c>
      <c r="C45" s="20">
        <v>218.52500000000001</v>
      </c>
      <c r="D45" s="20">
        <v>32.811038246924809</v>
      </c>
      <c r="E45" s="20">
        <v>259.73047319931516</v>
      </c>
      <c r="F45" s="20">
        <v>124.29387197465743</v>
      </c>
      <c r="G45" s="20">
        <v>86.822238611594912</v>
      </c>
      <c r="H45" s="20">
        <v>32.114752568393762</v>
      </c>
      <c r="I45" s="20">
        <v>5.3568807946687516</v>
      </c>
    </row>
    <row r="46" spans="1:9" x14ac:dyDescent="0.15">
      <c r="A46" s="3">
        <v>1877</v>
      </c>
      <c r="B46" s="27">
        <f t="shared" si="0"/>
        <v>784.96705723047353</v>
      </c>
      <c r="C46" s="20">
        <v>213.93600000000001</v>
      </c>
      <c r="D46" s="20">
        <v>43.231817481986312</v>
      </c>
      <c r="E46" s="20">
        <v>276.76456373532886</v>
      </c>
      <c r="F46" s="20">
        <v>125.51733800657915</v>
      </c>
      <c r="G46" s="20">
        <v>84.467571453247075</v>
      </c>
      <c r="H46" s="20">
        <v>36.067867414290127</v>
      </c>
      <c r="I46" s="20">
        <v>4.9818991390419392</v>
      </c>
    </row>
    <row r="47" spans="1:9" x14ac:dyDescent="0.15">
      <c r="A47" s="3">
        <v>1878</v>
      </c>
      <c r="B47" s="27">
        <f t="shared" si="0"/>
        <v>920.93439867975155</v>
      </c>
      <c r="C47" s="20">
        <v>236.684</v>
      </c>
      <c r="D47" s="20">
        <v>45.233181132346587</v>
      </c>
      <c r="E47" s="20">
        <v>389.03620579062226</v>
      </c>
      <c r="F47" s="20">
        <v>124.99050587839139</v>
      </c>
      <c r="G47" s="20">
        <v>84.133544309649665</v>
      </c>
      <c r="H47" s="20">
        <v>36.103795369432717</v>
      </c>
      <c r="I47" s="20">
        <v>4.7531661993090024</v>
      </c>
    </row>
    <row r="48" spans="1:9" x14ac:dyDescent="0.15">
      <c r="A48" s="3">
        <v>1879</v>
      </c>
      <c r="B48" s="27">
        <f t="shared" si="0"/>
        <v>994.47589957047796</v>
      </c>
      <c r="C48" s="20">
        <v>240.71299999999999</v>
      </c>
      <c r="D48" s="20">
        <v>49.258517509699651</v>
      </c>
      <c r="E48" s="20">
        <v>457.59928167480973</v>
      </c>
      <c r="F48" s="20">
        <v>123.4525501929843</v>
      </c>
      <c r="G48" s="20">
        <v>84.859537980360159</v>
      </c>
      <c r="H48" s="20">
        <v>34.172567647266753</v>
      </c>
      <c r="I48" s="20">
        <v>4.4204445653573723</v>
      </c>
    </row>
    <row r="49" spans="1:9" x14ac:dyDescent="0.15">
      <c r="A49" s="3">
        <v>1880</v>
      </c>
      <c r="B49" s="27">
        <f t="shared" si="0"/>
        <v>1202.0192120611441</v>
      </c>
      <c r="C49" s="20">
        <v>354.40499999999997</v>
      </c>
      <c r="D49" s="20">
        <v>75.083347159505664</v>
      </c>
      <c r="E49" s="20">
        <v>530.5549071513135</v>
      </c>
      <c r="F49" s="20">
        <v>120.98797887516245</v>
      </c>
      <c r="G49" s="20">
        <v>83.16975184094936</v>
      </c>
      <c r="H49" s="20">
        <v>33.697213588430749</v>
      </c>
      <c r="I49" s="20">
        <v>4.1210134457823564</v>
      </c>
    </row>
    <row r="50" spans="1:9" x14ac:dyDescent="0.15">
      <c r="A50" s="3">
        <v>1881</v>
      </c>
      <c r="B50" s="27">
        <f t="shared" si="0"/>
        <v>1201.5349543514496</v>
      </c>
      <c r="C50" s="20">
        <v>346.96199999999999</v>
      </c>
      <c r="D50" s="20">
        <v>80.066680216315547</v>
      </c>
      <c r="E50" s="20">
        <v>531.9411090082873</v>
      </c>
      <c r="F50" s="20">
        <v>121.28258256342336</v>
      </c>
      <c r="G50" s="20">
        <v>82.474659285720875</v>
      </c>
      <c r="H50" s="20">
        <v>34.975380773124904</v>
      </c>
      <c r="I50" s="20">
        <v>3.8325425045775905</v>
      </c>
    </row>
    <row r="51" spans="1:9" x14ac:dyDescent="0.15">
      <c r="A51" s="3">
        <v>1882</v>
      </c>
      <c r="B51" s="27">
        <f t="shared" si="0"/>
        <v>1206.2267173663984</v>
      </c>
      <c r="C51" s="20">
        <v>339.67599999999999</v>
      </c>
      <c r="D51" s="20">
        <v>80.805346611989251</v>
      </c>
      <c r="E51" s="20">
        <v>534.80228682812151</v>
      </c>
      <c r="F51" s="20">
        <v>125.47154196314381</v>
      </c>
      <c r="G51" s="20">
        <v>86.410419507149228</v>
      </c>
      <c r="H51" s="20">
        <v>35.496857926737412</v>
      </c>
      <c r="I51" s="20">
        <v>3.5642645292571591</v>
      </c>
    </row>
    <row r="52" spans="1:9" x14ac:dyDescent="0.15">
      <c r="A52" s="3">
        <v>1883</v>
      </c>
      <c r="B52" s="27">
        <f t="shared" si="0"/>
        <v>1245.0491195418629</v>
      </c>
      <c r="C52" s="20">
        <v>332.54300000000001</v>
      </c>
      <c r="D52" s="20">
        <v>83.286239679749457</v>
      </c>
      <c r="E52" s="20">
        <v>578.00004109155907</v>
      </c>
      <c r="F52" s="20">
        <v>125.60991938527708</v>
      </c>
      <c r="G52" s="20">
        <v>86.128106921934759</v>
      </c>
      <c r="H52" s="20">
        <v>36.16704645113316</v>
      </c>
      <c r="I52" s="20">
        <v>3.3147660122091578</v>
      </c>
    </row>
    <row r="53" spans="1:9" x14ac:dyDescent="0.15">
      <c r="A53" s="3">
        <v>1884</v>
      </c>
      <c r="B53" s="27">
        <f t="shared" si="0"/>
        <v>1221.9825946952751</v>
      </c>
      <c r="C53" s="20">
        <v>325.55900000000003</v>
      </c>
      <c r="D53" s="20">
        <v>85.435514886154479</v>
      </c>
      <c r="E53" s="20">
        <v>566.44004026972777</v>
      </c>
      <c r="F53" s="20">
        <v>122.27401976969639</v>
      </c>
      <c r="G53" s="20">
        <v>83.54426371427671</v>
      </c>
      <c r="H53" s="20">
        <v>35.447023664065171</v>
      </c>
      <c r="I53" s="20">
        <v>3.2827323913545166</v>
      </c>
    </row>
    <row r="54" spans="1:9" x14ac:dyDescent="0.15">
      <c r="A54" s="3">
        <v>1885</v>
      </c>
      <c r="B54" s="27">
        <f t="shared" si="0"/>
        <v>1239.4402023948235</v>
      </c>
      <c r="C54" s="20">
        <v>318.72300000000001</v>
      </c>
      <c r="D54" s="20">
        <v>108.72680458843139</v>
      </c>
      <c r="E54" s="20">
        <v>563.30823946433327</v>
      </c>
      <c r="F54" s="20">
        <v>124.34107917102938</v>
      </c>
      <c r="G54" s="20">
        <v>85.437935802848415</v>
      </c>
      <c r="H54" s="20">
        <v>35.670202244221258</v>
      </c>
      <c r="I54" s="20">
        <v>3.2329411239597001</v>
      </c>
    </row>
    <row r="55" spans="1:9" x14ac:dyDescent="0.15">
      <c r="A55" s="3">
        <v>1886</v>
      </c>
      <c r="B55" s="27">
        <f t="shared" si="0"/>
        <v>1347.6335893389362</v>
      </c>
      <c r="C55" s="20">
        <v>376.57600000000002</v>
      </c>
      <c r="D55" s="20">
        <v>111.39226849666277</v>
      </c>
      <c r="E55" s="20">
        <v>612.37247467504653</v>
      </c>
      <c r="F55" s="20">
        <v>123.64642308361344</v>
      </c>
      <c r="G55" s="20">
        <v>84.999797728762957</v>
      </c>
      <c r="H55" s="20">
        <v>35.639990109567975</v>
      </c>
      <c r="I55" s="20">
        <v>3.0066352452825211</v>
      </c>
    </row>
    <row r="56" spans="1:9" x14ac:dyDescent="0.15">
      <c r="A56" s="3">
        <v>1887</v>
      </c>
      <c r="B56" s="27">
        <f t="shared" si="0"/>
        <v>1444.7345788642886</v>
      </c>
      <c r="C56" s="20">
        <v>453.81099999999998</v>
      </c>
      <c r="D56" s="20">
        <v>137.6034231267295</v>
      </c>
      <c r="E56" s="20">
        <v>606.12502518154565</v>
      </c>
      <c r="F56" s="20">
        <v>123.5975652780067</v>
      </c>
      <c r="G56" s="20">
        <v>82.449803796900071</v>
      </c>
      <c r="H56" s="20">
        <v>38.351590702993903</v>
      </c>
      <c r="I56" s="20">
        <v>2.7961707781127445</v>
      </c>
    </row>
    <row r="57" spans="1:9" x14ac:dyDescent="0.15">
      <c r="A57" s="3">
        <v>1888</v>
      </c>
      <c r="B57" s="27">
        <f t="shared" si="0"/>
        <v>1460.3227668770137</v>
      </c>
      <c r="C57" s="20">
        <v>470.94799999999998</v>
      </c>
      <c r="D57" s="20">
        <v>136.29635466419489</v>
      </c>
      <c r="E57" s="20">
        <v>608.56392467791477</v>
      </c>
      <c r="F57" s="20">
        <v>122.25724376745217</v>
      </c>
      <c r="G57" s="20">
        <v>83.30630968299306</v>
      </c>
      <c r="H57" s="20">
        <v>36.250495260814262</v>
      </c>
      <c r="I57" s="20">
        <v>2.7004388236448524</v>
      </c>
    </row>
    <row r="58" spans="1:9" x14ac:dyDescent="0.15">
      <c r="A58" s="3">
        <v>1889</v>
      </c>
      <c r="B58" s="27">
        <f t="shared" si="0"/>
        <v>1532.2943618425841</v>
      </c>
      <c r="C58" s="20">
        <v>461.05799999999999</v>
      </c>
      <c r="D58" s="20">
        <v>137.16542757091099</v>
      </c>
      <c r="E58" s="20">
        <v>624.63294618435646</v>
      </c>
      <c r="F58" s="20">
        <v>154.7189940436584</v>
      </c>
      <c r="G58" s="20">
        <v>87.057120392503265</v>
      </c>
      <c r="H58" s="20">
        <v>49.650465545165403</v>
      </c>
      <c r="I58" s="20">
        <v>18.011408105989712</v>
      </c>
    </row>
    <row r="59" spans="1:9" x14ac:dyDescent="0.15">
      <c r="A59" s="3">
        <v>1890</v>
      </c>
      <c r="B59" s="27">
        <f t="shared" si="0"/>
        <v>1554.1013141436704</v>
      </c>
      <c r="C59" s="20">
        <v>486.93099999999998</v>
      </c>
      <c r="D59" s="20">
        <v>147.69511901949278</v>
      </c>
      <c r="E59" s="20">
        <v>613.14028726066931</v>
      </c>
      <c r="F59" s="20">
        <v>153.1674539317541</v>
      </c>
      <c r="G59" s="20">
        <v>84.445406780728163</v>
      </c>
      <c r="H59" s="20">
        <v>51.971437612455482</v>
      </c>
      <c r="I59" s="20">
        <v>16.750609538570433</v>
      </c>
    </row>
    <row r="60" spans="1:9" x14ac:dyDescent="0.15">
      <c r="A60" s="3">
        <v>1891</v>
      </c>
      <c r="B60" s="27">
        <f t="shared" si="0"/>
        <v>1531.1512237623288</v>
      </c>
      <c r="C60" s="20">
        <v>476.70600000000002</v>
      </c>
      <c r="D60" s="20">
        <v>144.8012166391029</v>
      </c>
      <c r="E60" s="20">
        <v>605.877481515456</v>
      </c>
      <c r="F60" s="20">
        <v>151.88326280388495</v>
      </c>
      <c r="G60" s="20">
        <v>82.81204457730631</v>
      </c>
      <c r="H60" s="20">
        <v>53.493151355708143</v>
      </c>
      <c r="I60" s="20">
        <v>15.578066870870501</v>
      </c>
    </row>
    <row r="61" spans="1:9" x14ac:dyDescent="0.15">
      <c r="A61" s="3">
        <v>1892</v>
      </c>
      <c r="B61" s="27">
        <f t="shared" si="0"/>
        <v>1559.7938195999923</v>
      </c>
      <c r="C61" s="20">
        <v>466.69499999999999</v>
      </c>
      <c r="D61" s="20">
        <v>153.73519230632084</v>
      </c>
      <c r="E61" s="20">
        <v>594.51593188514687</v>
      </c>
      <c r="F61" s="20">
        <v>172.42384770426236</v>
      </c>
      <c r="G61" s="20">
        <v>103.92768323998712</v>
      </c>
      <c r="H61" s="20">
        <v>53.983562274365653</v>
      </c>
      <c r="I61" s="20">
        <v>14.512602189909565</v>
      </c>
    </row>
    <row r="62" spans="1:9" x14ac:dyDescent="0.15">
      <c r="A62" s="3">
        <v>1893</v>
      </c>
      <c r="B62" s="27">
        <f t="shared" si="0"/>
        <v>1550.2563443422525</v>
      </c>
      <c r="C62" s="20">
        <v>456.89400000000001</v>
      </c>
      <c r="D62" s="20">
        <v>155.45448846019443</v>
      </c>
      <c r="E62" s="20">
        <v>582.62561324744388</v>
      </c>
      <c r="F62" s="20">
        <v>177.64112131730712</v>
      </c>
      <c r="G62" s="20">
        <v>103.75985274278752</v>
      </c>
      <c r="H62" s="20">
        <v>56.454548537903712</v>
      </c>
      <c r="I62" s="20">
        <v>17.426720036615894</v>
      </c>
    </row>
    <row r="63" spans="1:9" x14ac:dyDescent="0.15">
      <c r="A63" s="3">
        <v>1894</v>
      </c>
      <c r="B63" s="27">
        <f t="shared" si="0"/>
        <v>1610.4655645138578</v>
      </c>
      <c r="C63" s="20">
        <v>465.3</v>
      </c>
      <c r="D63" s="20">
        <v>167.76439869099053</v>
      </c>
      <c r="E63" s="20">
        <v>591.05880098249509</v>
      </c>
      <c r="F63" s="20">
        <v>193.17118242018614</v>
      </c>
      <c r="G63" s="20">
        <v>108.73305716050388</v>
      </c>
      <c r="H63" s="20">
        <v>68.231275625629479</v>
      </c>
      <c r="I63" s="20">
        <v>16.20684963405278</v>
      </c>
    </row>
    <row r="64" spans="1:9" x14ac:dyDescent="0.15">
      <c r="A64" s="3">
        <v>1895</v>
      </c>
      <c r="B64" s="27">
        <f t="shared" si="0"/>
        <v>1618.7064050669151</v>
      </c>
      <c r="C64" s="20">
        <v>455.52800000000002</v>
      </c>
      <c r="D64" s="20">
        <v>164.40911071717071</v>
      </c>
      <c r="E64" s="20">
        <v>579.23762496284519</v>
      </c>
      <c r="F64" s="20">
        <v>209.76583469344953</v>
      </c>
      <c r="G64" s="20">
        <v>111.15606544568875</v>
      </c>
      <c r="H64" s="20">
        <v>83.387399088091698</v>
      </c>
      <c r="I64" s="20">
        <v>15.222370159669085</v>
      </c>
    </row>
    <row r="65" spans="1:9" x14ac:dyDescent="0.15">
      <c r="A65" s="3">
        <v>1896</v>
      </c>
      <c r="B65" s="27">
        <f t="shared" si="0"/>
        <v>1608.5204867136488</v>
      </c>
      <c r="C65" s="20">
        <v>445.96199999999999</v>
      </c>
      <c r="D65" s="20">
        <v>165.44092850282729</v>
      </c>
      <c r="E65" s="20">
        <v>569.65287246358821</v>
      </c>
      <c r="F65" s="20">
        <v>213.73234287361652</v>
      </c>
      <c r="G65" s="20">
        <v>113.64138348231809</v>
      </c>
      <c r="H65" s="20">
        <v>85.934155142806205</v>
      </c>
      <c r="I65" s="20">
        <v>14.156804248492248</v>
      </c>
    </row>
    <row r="66" spans="1:9" x14ac:dyDescent="0.15">
      <c r="A66" s="3">
        <v>1897</v>
      </c>
      <c r="B66" s="27">
        <f t="shared" si="0"/>
        <v>1626.7930764734556</v>
      </c>
      <c r="C66" s="20">
        <v>436.59699999999998</v>
      </c>
      <c r="D66" s="20">
        <v>165.88310993277074</v>
      </c>
      <c r="E66" s="20">
        <v>566.68081501431641</v>
      </c>
      <c r="F66" s="20">
        <v>228.81607576318416</v>
      </c>
      <c r="G66" s="20">
        <v>128.31214197784854</v>
      </c>
      <c r="H66" s="20">
        <v>87.188105834237831</v>
      </c>
      <c r="I66" s="20">
        <v>13.315827951097789</v>
      </c>
    </row>
    <row r="67" spans="1:9" x14ac:dyDescent="0.15">
      <c r="A67" s="3">
        <v>1898</v>
      </c>
      <c r="B67" s="27">
        <f t="shared" si="0"/>
        <v>1795.3612208425809</v>
      </c>
      <c r="C67" s="20">
        <v>427.42899999999997</v>
      </c>
      <c r="D67" s="20">
        <v>164.69044773411531</v>
      </c>
      <c r="E67" s="20">
        <v>562.52519871403013</v>
      </c>
      <c r="F67" s="20">
        <v>320.35828719721758</v>
      </c>
      <c r="G67" s="20">
        <v>181.80774771851307</v>
      </c>
      <c r="H67" s="20">
        <v>126.16681948418355</v>
      </c>
      <c r="I67" s="20">
        <v>12.383719994520943</v>
      </c>
    </row>
    <row r="68" spans="1:9" x14ac:dyDescent="0.15">
      <c r="A68" s="3">
        <v>1899</v>
      </c>
      <c r="B68" s="27">
        <f t="shared" si="0"/>
        <v>1807.3737839131718</v>
      </c>
      <c r="C68" s="20">
        <v>454.45299999999997</v>
      </c>
      <c r="D68" s="20">
        <v>173.13821877943298</v>
      </c>
      <c r="E68" s="20">
        <v>551.64819473974956</v>
      </c>
      <c r="F68" s="20">
        <v>314.06718519699473</v>
      </c>
      <c r="G68" s="20">
        <v>176.85351528695767</v>
      </c>
      <c r="H68" s="20">
        <v>125.19681031513252</v>
      </c>
      <c r="I68" s="20">
        <v>12.016859594904476</v>
      </c>
    </row>
    <row r="69" spans="1:9" x14ac:dyDescent="0.15">
      <c r="A69" s="3">
        <v>1900</v>
      </c>
      <c r="B69" s="27">
        <f t="shared" ref="B69:B132" si="1">SUM(C69:I69)</f>
        <v>1877.5818671444681</v>
      </c>
      <c r="C69" s="20">
        <v>481.22899999999998</v>
      </c>
      <c r="D69" s="20">
        <v>201.70045440384433</v>
      </c>
      <c r="E69" s="20">
        <v>545.61523084495445</v>
      </c>
      <c r="F69" s="20">
        <v>324.5185909478347</v>
      </c>
      <c r="G69" s="20">
        <v>174.24790982834892</v>
      </c>
      <c r="H69" s="20">
        <v>138.59500169622456</v>
      </c>
      <c r="I69" s="20">
        <v>11.675679423261162</v>
      </c>
    </row>
    <row r="70" spans="1:9" x14ac:dyDescent="0.15">
      <c r="A70" s="3">
        <v>1901</v>
      </c>
      <c r="B70" s="27">
        <f t="shared" si="1"/>
        <v>1908.3286835269878</v>
      </c>
      <c r="C70" s="20">
        <v>471.12299999999999</v>
      </c>
      <c r="D70" s="20">
        <v>211.31644531576742</v>
      </c>
      <c r="E70" s="20">
        <v>534.70292622805539</v>
      </c>
      <c r="F70" s="20">
        <v>345.59315599158242</v>
      </c>
      <c r="G70" s="20">
        <v>176.68047253349846</v>
      </c>
      <c r="H70" s="20">
        <v>158.05430159445106</v>
      </c>
      <c r="I70" s="20">
        <v>10.85838186363288</v>
      </c>
    </row>
    <row r="71" spans="1:9" x14ac:dyDescent="0.15">
      <c r="A71" s="3">
        <v>1902</v>
      </c>
      <c r="B71" s="27">
        <f t="shared" si="1"/>
        <v>1975.8095740918584</v>
      </c>
      <c r="C71" s="20">
        <v>461.23</v>
      </c>
      <c r="D71" s="20">
        <v>227.00511240945207</v>
      </c>
      <c r="E71" s="20">
        <v>537.00886770349427</v>
      </c>
      <c r="F71" s="20">
        <v>375.28279698945613</v>
      </c>
      <c r="G71" s="20">
        <v>183.05005835749353</v>
      </c>
      <c r="H71" s="20">
        <v>180.734443498784</v>
      </c>
      <c r="I71" s="20">
        <v>11.498295133178578</v>
      </c>
    </row>
    <row r="72" spans="1:9" x14ac:dyDescent="0.15">
      <c r="A72" s="3">
        <v>1903</v>
      </c>
      <c r="B72" s="27">
        <f t="shared" si="1"/>
        <v>2086.5153964496508</v>
      </c>
      <c r="C72" s="20">
        <v>451.54399999999998</v>
      </c>
      <c r="D72" s="20">
        <v>228.61401016126305</v>
      </c>
      <c r="E72" s="20">
        <v>532.26869034942445</v>
      </c>
      <c r="F72" s="20">
        <v>437.04434796948169</v>
      </c>
      <c r="G72" s="20">
        <v>184.14855660676869</v>
      </c>
      <c r="H72" s="20">
        <v>238.06237688885696</v>
      </c>
      <c r="I72" s="20">
        <v>14.833414473856077</v>
      </c>
    </row>
    <row r="73" spans="1:9" x14ac:dyDescent="0.15">
      <c r="A73" s="3">
        <v>1904</v>
      </c>
      <c r="B73" s="27">
        <f t="shared" si="1"/>
        <v>2201.7746657900284</v>
      </c>
      <c r="C73" s="20">
        <v>478.06099999999998</v>
      </c>
      <c r="D73" s="20">
        <v>227.3417299580378</v>
      </c>
      <c r="E73" s="20">
        <v>589.91631654243588</v>
      </c>
      <c r="F73" s="20">
        <v>453.22780964477732</v>
      </c>
      <c r="G73" s="20">
        <v>188.80409990856563</v>
      </c>
      <c r="H73" s="20">
        <v>250.62863427552551</v>
      </c>
      <c r="I73" s="20">
        <v>13.795075460686151</v>
      </c>
    </row>
    <row r="74" spans="1:9" x14ac:dyDescent="0.15">
      <c r="A74" s="3">
        <v>1905</v>
      </c>
      <c r="B74" s="27">
        <f t="shared" si="1"/>
        <v>2251.2422321879458</v>
      </c>
      <c r="C74" s="20">
        <v>468.02199999999999</v>
      </c>
      <c r="D74" s="20">
        <v>254.50461535887703</v>
      </c>
      <c r="E74" s="20">
        <v>583.21499021158718</v>
      </c>
      <c r="F74" s="20">
        <v>472.75031330874077</v>
      </c>
      <c r="G74" s="20">
        <v>189.41997691130868</v>
      </c>
      <c r="H74" s="20">
        <v>270.50091621899395</v>
      </c>
      <c r="I74" s="20">
        <v>12.82942017843812</v>
      </c>
    </row>
    <row r="75" spans="1:9" x14ac:dyDescent="0.15">
      <c r="A75" s="3">
        <v>1906</v>
      </c>
      <c r="B75" s="27">
        <f t="shared" si="1"/>
        <v>2332.3737726905974</v>
      </c>
      <c r="C75" s="20">
        <v>501.39400000000001</v>
      </c>
      <c r="D75" s="20">
        <v>271.74652305169951</v>
      </c>
      <c r="E75" s="20">
        <v>585.85429040735539</v>
      </c>
      <c r="F75" s="20">
        <v>486.68947961577118</v>
      </c>
      <c r="G75" s="20">
        <v>187.38725760396943</v>
      </c>
      <c r="H75" s="20">
        <v>286.67086124585433</v>
      </c>
      <c r="I75" s="20">
        <v>12.63136076594745</v>
      </c>
    </row>
    <row r="76" spans="1:9" x14ac:dyDescent="0.15">
      <c r="A76" s="3">
        <v>1907</v>
      </c>
      <c r="B76" s="27">
        <f t="shared" si="1"/>
        <v>2398.319627108443</v>
      </c>
      <c r="C76" s="20">
        <v>537.66399999999999</v>
      </c>
      <c r="D76" s="20">
        <v>272.94159259066549</v>
      </c>
      <c r="E76" s="20">
        <v>574.1372045992083</v>
      </c>
      <c r="F76" s="20">
        <v>506.78841495928452</v>
      </c>
      <c r="G76" s="20">
        <v>181.76563987585035</v>
      </c>
      <c r="H76" s="20">
        <v>313.27560957110302</v>
      </c>
      <c r="I76" s="20">
        <v>11.747165512331128</v>
      </c>
    </row>
    <row r="77" spans="1:9" x14ac:dyDescent="0.15">
      <c r="A77" s="3">
        <v>1908</v>
      </c>
      <c r="B77" s="27">
        <f t="shared" si="1"/>
        <v>2594.1364993806155</v>
      </c>
      <c r="C77" s="20">
        <v>584.07899999999995</v>
      </c>
      <c r="D77" s="20">
        <v>323.67280073885217</v>
      </c>
      <c r="E77" s="20">
        <v>579.04575814401778</v>
      </c>
      <c r="F77" s="20">
        <v>553.66947024887293</v>
      </c>
      <c r="G77" s="20">
        <v>195.98915527771257</v>
      </c>
      <c r="H77" s="20">
        <v>334.75545104469234</v>
      </c>
      <c r="I77" s="20">
        <v>22.924863926467946</v>
      </c>
    </row>
    <row r="78" spans="1:9" x14ac:dyDescent="0.15">
      <c r="A78" s="3">
        <v>1909</v>
      </c>
      <c r="B78" s="27">
        <f t="shared" si="1"/>
        <v>2664.2583590451572</v>
      </c>
      <c r="C78" s="20">
        <v>575.31799999999998</v>
      </c>
      <c r="D78" s="20">
        <v>374.62326472407511</v>
      </c>
      <c r="E78" s="20">
        <v>579.7904090462896</v>
      </c>
      <c r="F78" s="20">
        <v>567.26334263739636</v>
      </c>
      <c r="G78" s="20">
        <v>196.74931794854689</v>
      </c>
      <c r="H78" s="20">
        <v>347.59390123723426</v>
      </c>
      <c r="I78" s="20">
        <v>22.92012345161519</v>
      </c>
    </row>
    <row r="79" spans="1:9" x14ac:dyDescent="0.15">
      <c r="A79" s="3">
        <v>1910</v>
      </c>
      <c r="B79" s="27">
        <f t="shared" si="1"/>
        <v>2870.2370428843415</v>
      </c>
      <c r="C79" s="20">
        <v>566.68799999999999</v>
      </c>
      <c r="D79" s="20">
        <v>398.74479942959363</v>
      </c>
      <c r="E79" s="20">
        <v>703.68042413773401</v>
      </c>
      <c r="F79" s="20">
        <v>600.56190965850715</v>
      </c>
      <c r="G79" s="20">
        <v>213.31495817931867</v>
      </c>
      <c r="H79" s="20">
        <v>365.71123666918635</v>
      </c>
      <c r="I79" s="20">
        <v>21.535714810002123</v>
      </c>
    </row>
    <row r="80" spans="1:9" x14ac:dyDescent="0.15">
      <c r="A80" s="3">
        <v>1911</v>
      </c>
      <c r="B80" s="27">
        <f t="shared" si="1"/>
        <v>3035.6772969537069</v>
      </c>
      <c r="C80" s="20">
        <v>630.18799999999999</v>
      </c>
      <c r="D80" s="20">
        <v>405.71990344100175</v>
      </c>
      <c r="E80" s="20">
        <v>697.23625904808125</v>
      </c>
      <c r="F80" s="20">
        <v>651.2665672323119</v>
      </c>
      <c r="G80" s="20">
        <v>220.14023380662888</v>
      </c>
      <c r="H80" s="20">
        <v>411.09811865238106</v>
      </c>
      <c r="I80" s="20">
        <v>20.028214773301976</v>
      </c>
    </row>
    <row r="81" spans="1:9" x14ac:dyDescent="0.15">
      <c r="A81" s="3">
        <v>1912</v>
      </c>
      <c r="B81" s="27">
        <f t="shared" si="1"/>
        <v>3119.9858736420865</v>
      </c>
      <c r="C81" s="20">
        <v>620.73500000000001</v>
      </c>
      <c r="D81" s="20">
        <v>409.46350537218171</v>
      </c>
      <c r="E81" s="20">
        <v>697.38318393950431</v>
      </c>
      <c r="F81" s="20">
        <v>696.20209216520027</v>
      </c>
      <c r="G81" s="20">
        <v>224.83813029952944</v>
      </c>
      <c r="H81" s="20">
        <v>452.73772212650005</v>
      </c>
      <c r="I81" s="20">
        <v>18.626239739170835</v>
      </c>
    </row>
    <row r="82" spans="1:9" x14ac:dyDescent="0.15">
      <c r="A82" s="3">
        <v>1913</v>
      </c>
      <c r="B82" s="27">
        <f t="shared" si="1"/>
        <v>3202.1438384209846</v>
      </c>
      <c r="C82" s="20">
        <v>635.904</v>
      </c>
      <c r="D82" s="20">
        <v>427.67503526473809</v>
      </c>
      <c r="E82" s="20">
        <v>718.51458573223022</v>
      </c>
      <c r="F82" s="20">
        <v>710.02510871200798</v>
      </c>
      <c r="G82" s="20">
        <v>222.96555834503647</v>
      </c>
      <c r="H82" s="20">
        <v>469.73714740954256</v>
      </c>
      <c r="I82" s="20">
        <v>17.322402957428878</v>
      </c>
    </row>
    <row r="83" spans="1:9" x14ac:dyDescent="0.15">
      <c r="A83" s="3">
        <v>1914</v>
      </c>
      <c r="B83" s="27">
        <f t="shared" si="1"/>
        <v>3347.5969733074612</v>
      </c>
      <c r="C83" s="20">
        <v>703.88699999999994</v>
      </c>
      <c r="D83" s="20">
        <v>465.42153455944327</v>
      </c>
      <c r="E83" s="20">
        <v>732.3434107034434</v>
      </c>
      <c r="F83" s="20">
        <v>722.97251402228744</v>
      </c>
      <c r="G83" s="20">
        <v>220.52107496986093</v>
      </c>
      <c r="H83" s="20">
        <v>486.34160430201769</v>
      </c>
      <c r="I83" s="20">
        <v>16.109834750408854</v>
      </c>
    </row>
    <row r="84" spans="1:9" x14ac:dyDescent="0.15">
      <c r="A84" s="3">
        <v>1915</v>
      </c>
      <c r="B84" s="27">
        <f t="shared" si="1"/>
        <v>3510.891670643256</v>
      </c>
      <c r="C84" s="20">
        <v>812.60866599999997</v>
      </c>
      <c r="D84" s="20">
        <v>479.21110386825444</v>
      </c>
      <c r="E84" s="20">
        <v>761.80378977500209</v>
      </c>
      <c r="F84" s="20">
        <v>728.63404800000001</v>
      </c>
      <c r="G84" s="20">
        <v>220.886223</v>
      </c>
      <c r="H84" s="20">
        <v>492.80234000000002</v>
      </c>
      <c r="I84" s="20">
        <v>14.945499999999999</v>
      </c>
    </row>
    <row r="85" spans="1:9" x14ac:dyDescent="0.15">
      <c r="A85" s="3">
        <v>1916</v>
      </c>
      <c r="B85" s="27">
        <f t="shared" si="1"/>
        <v>0</v>
      </c>
      <c r="C85" s="20"/>
      <c r="D85" s="20"/>
      <c r="E85" s="20"/>
      <c r="F85" s="20"/>
      <c r="G85" s="20"/>
      <c r="H85" s="20"/>
      <c r="I85" s="20"/>
    </row>
    <row r="86" spans="1:9" x14ac:dyDescent="0.15">
      <c r="A86" s="3">
        <v>1917</v>
      </c>
      <c r="B86" s="27">
        <f t="shared" si="1"/>
        <v>0</v>
      </c>
      <c r="C86" s="20"/>
      <c r="D86" s="20"/>
      <c r="E86" s="20"/>
      <c r="F86" s="20"/>
      <c r="G86" s="20"/>
      <c r="H86" s="20"/>
      <c r="I86" s="20"/>
    </row>
    <row r="87" spans="1:9" x14ac:dyDescent="0.15">
      <c r="A87" s="3">
        <v>1918</v>
      </c>
      <c r="B87" s="27">
        <f t="shared" si="1"/>
        <v>4314.3829953499999</v>
      </c>
      <c r="C87" s="20">
        <v>1086.1971803399999</v>
      </c>
      <c r="D87" s="20">
        <v>581.89600989999997</v>
      </c>
      <c r="E87" s="20">
        <v>755.77437333</v>
      </c>
      <c r="F87" s="20">
        <v>945.25772800000004</v>
      </c>
      <c r="G87" s="20">
        <v>259.25060378000001</v>
      </c>
      <c r="H87" s="20">
        <v>668.80150000000003</v>
      </c>
      <c r="I87" s="20">
        <v>17.2056</v>
      </c>
    </row>
    <row r="88" spans="1:9" x14ac:dyDescent="0.15">
      <c r="A88" s="3">
        <v>1919</v>
      </c>
      <c r="B88" s="27">
        <f t="shared" si="1"/>
        <v>0</v>
      </c>
      <c r="C88" s="20"/>
      <c r="D88" s="20"/>
      <c r="E88" s="20"/>
      <c r="F88" s="20"/>
      <c r="G88" s="20"/>
      <c r="H88" s="20"/>
      <c r="I88" s="20"/>
    </row>
    <row r="89" spans="1:9" x14ac:dyDescent="0.15">
      <c r="A89" s="3">
        <v>1920</v>
      </c>
      <c r="B89" s="27">
        <f t="shared" si="1"/>
        <v>0</v>
      </c>
      <c r="C89" s="20"/>
      <c r="D89" s="20"/>
      <c r="E89" s="20"/>
      <c r="F89" s="20"/>
      <c r="G89" s="20"/>
      <c r="H89" s="20"/>
      <c r="I89" s="20"/>
    </row>
    <row r="90" spans="1:9" x14ac:dyDescent="0.15">
      <c r="A90" s="3">
        <v>1921</v>
      </c>
      <c r="B90" s="27">
        <f t="shared" si="1"/>
        <v>5299.9061024200009</v>
      </c>
      <c r="C90" s="20">
        <v>1423.4648533699999</v>
      </c>
      <c r="D90" s="20">
        <v>712.78418681000005</v>
      </c>
      <c r="E90" s="20">
        <v>744.85262666999995</v>
      </c>
      <c r="F90" s="20">
        <v>1209.4022399999999</v>
      </c>
      <c r="G90" s="20">
        <v>278.19819557</v>
      </c>
      <c r="H90" s="20">
        <v>915.43949999999995</v>
      </c>
      <c r="I90" s="20">
        <v>15.7645</v>
      </c>
    </row>
    <row r="91" spans="1:9" x14ac:dyDescent="0.15">
      <c r="A91" s="3">
        <v>1922</v>
      </c>
      <c r="B91" s="27">
        <f t="shared" si="1"/>
        <v>0</v>
      </c>
      <c r="C91" s="20"/>
      <c r="D91" s="20"/>
      <c r="E91" s="20"/>
      <c r="F91" s="20"/>
      <c r="G91" s="20"/>
      <c r="H91" s="20"/>
      <c r="I91" s="20"/>
    </row>
    <row r="92" spans="1:9" x14ac:dyDescent="0.15">
      <c r="A92" s="3">
        <v>1923</v>
      </c>
      <c r="B92" s="27">
        <f t="shared" si="1"/>
        <v>0</v>
      </c>
      <c r="C92" s="20"/>
      <c r="D92" s="20"/>
      <c r="E92" s="20"/>
      <c r="F92" s="20"/>
      <c r="G92" s="20"/>
      <c r="H92" s="20"/>
      <c r="I92" s="20"/>
    </row>
    <row r="93" spans="1:9" x14ac:dyDescent="0.15">
      <c r="A93" s="3">
        <v>1924</v>
      </c>
      <c r="B93" s="27">
        <f t="shared" si="1"/>
        <v>5801.3098120000004</v>
      </c>
      <c r="C93" s="20">
        <v>1669.0007889999999</v>
      </c>
      <c r="D93" s="20">
        <v>725.67932299999995</v>
      </c>
      <c r="E93" s="20">
        <v>955.98055999999997</v>
      </c>
      <c r="F93" s="20">
        <v>1225.3245440000001</v>
      </c>
      <c r="G93" s="20">
        <v>312.985996</v>
      </c>
      <c r="H93" s="20">
        <v>896.50750000000005</v>
      </c>
      <c r="I93" s="20">
        <v>15.831099999999999</v>
      </c>
    </row>
    <row r="94" spans="1:9" x14ac:dyDescent="0.15">
      <c r="A94" s="3">
        <v>1925</v>
      </c>
      <c r="B94" s="27">
        <f t="shared" si="1"/>
        <v>0</v>
      </c>
      <c r="C94" s="20"/>
      <c r="D94" s="20"/>
      <c r="E94" s="20"/>
      <c r="F94" s="20"/>
      <c r="G94" s="20"/>
      <c r="H94" s="20"/>
      <c r="I94" s="20"/>
    </row>
    <row r="95" spans="1:9" x14ac:dyDescent="0.15">
      <c r="A95" s="3">
        <v>1926</v>
      </c>
      <c r="B95" s="27">
        <f t="shared" si="1"/>
        <v>0</v>
      </c>
      <c r="C95" s="20"/>
      <c r="D95" s="20"/>
      <c r="E95" s="20"/>
      <c r="F95" s="20"/>
      <c r="G95" s="20"/>
      <c r="H95" s="20"/>
      <c r="I95" s="20"/>
    </row>
    <row r="96" spans="1:9" x14ac:dyDescent="0.15">
      <c r="A96" s="3">
        <v>1927</v>
      </c>
      <c r="B96" s="27">
        <f t="shared" si="1"/>
        <v>6050.5160679999999</v>
      </c>
      <c r="C96" s="20">
        <v>1706.851054</v>
      </c>
      <c r="D96" s="20">
        <v>681.89626299999998</v>
      </c>
      <c r="E96" s="20">
        <v>1101.611367</v>
      </c>
      <c r="F96" s="20">
        <v>1280.07872</v>
      </c>
      <c r="G96" s="20">
        <v>287.87006400000001</v>
      </c>
      <c r="H96" s="20">
        <v>975.13800000000003</v>
      </c>
      <c r="I96" s="20">
        <v>17.070599999999999</v>
      </c>
    </row>
    <row r="97" spans="1:9" x14ac:dyDescent="0.15">
      <c r="A97" s="3">
        <v>1928</v>
      </c>
      <c r="B97" s="27">
        <f t="shared" si="1"/>
        <v>0</v>
      </c>
      <c r="C97" s="20"/>
      <c r="D97" s="20"/>
      <c r="E97" s="20"/>
      <c r="F97" s="20"/>
      <c r="G97" s="20"/>
      <c r="H97" s="20"/>
      <c r="I97" s="20"/>
    </row>
    <row r="98" spans="1:9" x14ac:dyDescent="0.15">
      <c r="A98" s="3">
        <v>1929</v>
      </c>
      <c r="B98" s="27">
        <f t="shared" si="1"/>
        <v>0</v>
      </c>
      <c r="C98" s="20"/>
      <c r="D98" s="20"/>
      <c r="E98" s="20"/>
      <c r="F98" s="20"/>
      <c r="G98" s="20"/>
      <c r="H98" s="20"/>
      <c r="I98" s="20"/>
    </row>
    <row r="99" spans="1:9" x14ac:dyDescent="0.15">
      <c r="A99" s="3">
        <v>1930</v>
      </c>
      <c r="B99" s="27">
        <f t="shared" si="1"/>
        <v>0</v>
      </c>
      <c r="C99" s="20"/>
      <c r="D99" s="20"/>
      <c r="E99" s="20"/>
      <c r="F99" s="20"/>
      <c r="G99" s="20"/>
      <c r="H99" s="20"/>
      <c r="I99" s="20"/>
    </row>
    <row r="100" spans="1:9" x14ac:dyDescent="0.15">
      <c r="A100" s="3">
        <v>1931</v>
      </c>
      <c r="B100" s="27">
        <f t="shared" si="1"/>
        <v>6164.5892400000002</v>
      </c>
      <c r="C100" s="20">
        <v>1665.1738780000001</v>
      </c>
      <c r="D100" s="20">
        <v>510.766954</v>
      </c>
      <c r="E100" s="20">
        <v>1455.8732669999999</v>
      </c>
      <c r="F100" s="20">
        <v>1266.3875840000001</v>
      </c>
      <c r="G100" s="20">
        <v>231.01145700000001</v>
      </c>
      <c r="H100" s="20">
        <v>1019.9165</v>
      </c>
      <c r="I100" s="20">
        <v>15.4596</v>
      </c>
    </row>
    <row r="101" spans="1:9" x14ac:dyDescent="0.15">
      <c r="A101" s="3">
        <v>1932</v>
      </c>
      <c r="B101" s="27">
        <f t="shared" si="1"/>
        <v>0</v>
      </c>
      <c r="C101" s="20"/>
      <c r="D101" s="20"/>
      <c r="E101" s="20"/>
      <c r="F101" s="20"/>
      <c r="G101" s="20"/>
      <c r="H101" s="20"/>
      <c r="I101" s="20"/>
    </row>
    <row r="102" spans="1:9" x14ac:dyDescent="0.15">
      <c r="A102" s="3">
        <v>1933</v>
      </c>
      <c r="B102" s="27">
        <f t="shared" si="1"/>
        <v>0</v>
      </c>
      <c r="C102" s="20"/>
      <c r="D102" s="20"/>
      <c r="E102" s="20"/>
      <c r="F102" s="20"/>
      <c r="G102" s="20"/>
      <c r="H102" s="20"/>
      <c r="I102" s="20"/>
    </row>
    <row r="103" spans="1:9" x14ac:dyDescent="0.15">
      <c r="A103" s="3">
        <v>1934</v>
      </c>
      <c r="B103" s="27">
        <f t="shared" si="1"/>
        <v>6442.8188429999991</v>
      </c>
      <c r="C103" s="20">
        <v>1978.014764</v>
      </c>
      <c r="D103" s="20">
        <v>450.74075699999997</v>
      </c>
      <c r="E103" s="20">
        <v>1739.7674529999999</v>
      </c>
      <c r="F103" s="20">
        <v>1137.1479039999999</v>
      </c>
      <c r="G103" s="20">
        <v>194.14776499999999</v>
      </c>
      <c r="H103" s="20">
        <v>930.274</v>
      </c>
      <c r="I103" s="20">
        <v>12.7262</v>
      </c>
    </row>
    <row r="104" spans="1:9" x14ac:dyDescent="0.15">
      <c r="A104" s="3">
        <v>1935</v>
      </c>
      <c r="B104" s="27">
        <f t="shared" si="1"/>
        <v>0</v>
      </c>
      <c r="C104" s="20"/>
      <c r="D104" s="20"/>
      <c r="E104" s="20"/>
      <c r="F104" s="20"/>
      <c r="G104" s="20"/>
      <c r="H104" s="20"/>
      <c r="I104" s="20"/>
    </row>
    <row r="105" spans="1:9" x14ac:dyDescent="0.15">
      <c r="A105" s="3">
        <v>1936</v>
      </c>
      <c r="B105" s="27">
        <f t="shared" si="1"/>
        <v>0</v>
      </c>
      <c r="C105" s="20"/>
      <c r="D105" s="20"/>
      <c r="E105" s="20"/>
      <c r="F105" s="20"/>
      <c r="G105" s="20"/>
      <c r="H105" s="20"/>
      <c r="I105" s="20"/>
    </row>
    <row r="106" spans="1:9" x14ac:dyDescent="0.15">
      <c r="A106" s="3">
        <v>1937</v>
      </c>
      <c r="B106" s="27">
        <f t="shared" si="1"/>
        <v>6365.1612059999998</v>
      </c>
      <c r="C106" s="20">
        <v>1840.8154</v>
      </c>
      <c r="D106" s="20">
        <v>412.61601999999999</v>
      </c>
      <c r="E106" s="20">
        <v>1965.7515659999999</v>
      </c>
      <c r="F106" s="20">
        <v>1072.98912</v>
      </c>
      <c r="G106" s="20">
        <v>170.57480000000001</v>
      </c>
      <c r="H106" s="20">
        <v>892.38250000000005</v>
      </c>
      <c r="I106" s="20">
        <v>10.0318</v>
      </c>
    </row>
    <row r="107" spans="1:9" x14ac:dyDescent="0.15">
      <c r="A107" s="3">
        <v>1938</v>
      </c>
      <c r="B107" s="27">
        <f t="shared" si="1"/>
        <v>0</v>
      </c>
      <c r="C107" s="20"/>
      <c r="D107" s="20"/>
      <c r="E107" s="20"/>
      <c r="F107" s="20"/>
      <c r="G107" s="20"/>
      <c r="H107" s="20"/>
      <c r="I107" s="20"/>
    </row>
    <row r="108" spans="1:9" x14ac:dyDescent="0.15">
      <c r="A108" s="3">
        <v>1939</v>
      </c>
      <c r="B108" s="27">
        <f t="shared" si="1"/>
        <v>0</v>
      </c>
      <c r="C108" s="20"/>
      <c r="D108" s="20"/>
      <c r="E108" s="20"/>
      <c r="F108" s="20"/>
      <c r="G108" s="20"/>
      <c r="H108" s="20"/>
      <c r="I108" s="20"/>
    </row>
    <row r="109" spans="1:9" x14ac:dyDescent="0.15">
      <c r="A109" s="3">
        <v>1940</v>
      </c>
      <c r="B109" s="27">
        <f t="shared" si="1"/>
        <v>7191.7530479999996</v>
      </c>
      <c r="C109" s="20">
        <v>2757.741955</v>
      </c>
      <c r="D109" s="20">
        <v>517.57560000000001</v>
      </c>
      <c r="E109" s="20">
        <v>2227.3711330000001</v>
      </c>
      <c r="F109" s="20">
        <v>844.53215999999998</v>
      </c>
      <c r="G109" s="20">
        <v>122.9832</v>
      </c>
      <c r="H109" s="20">
        <v>713.97400000000005</v>
      </c>
      <c r="I109" s="20">
        <v>7.5750000000000002</v>
      </c>
    </row>
    <row r="110" spans="1:9" x14ac:dyDescent="0.15">
      <c r="A110" s="3">
        <v>1941</v>
      </c>
      <c r="B110" s="27">
        <f t="shared" si="1"/>
        <v>0</v>
      </c>
      <c r="C110" s="20"/>
      <c r="D110" s="20"/>
      <c r="E110" s="20"/>
      <c r="F110" s="20"/>
      <c r="G110" s="20"/>
      <c r="H110" s="20"/>
      <c r="I110" s="20"/>
    </row>
    <row r="111" spans="1:9" x14ac:dyDescent="0.15">
      <c r="A111" s="3">
        <v>1942</v>
      </c>
      <c r="B111" s="27">
        <f t="shared" si="1"/>
        <v>0</v>
      </c>
      <c r="C111" s="20"/>
      <c r="D111" s="20"/>
      <c r="E111" s="20"/>
      <c r="F111" s="20"/>
      <c r="G111" s="20"/>
      <c r="H111" s="20"/>
      <c r="I111" s="20"/>
    </row>
    <row r="112" spans="1:9" x14ac:dyDescent="0.15">
      <c r="A112" s="3">
        <v>1943</v>
      </c>
      <c r="B112" s="27">
        <f t="shared" si="1"/>
        <v>10600.548388000001</v>
      </c>
      <c r="C112" s="20">
        <v>6401.669355</v>
      </c>
      <c r="D112" s="20">
        <v>496.10950000000003</v>
      </c>
      <c r="E112" s="20">
        <v>2232.4687330000002</v>
      </c>
      <c r="F112" s="20">
        <v>735.15039999999999</v>
      </c>
      <c r="G112" s="20">
        <v>82.794399999999996</v>
      </c>
      <c r="H112" s="20">
        <v>652.35599999999999</v>
      </c>
      <c r="I112" s="20"/>
    </row>
    <row r="113" spans="1:9" x14ac:dyDescent="0.15">
      <c r="A113" s="3">
        <v>1944</v>
      </c>
      <c r="B113" s="27">
        <f t="shared" si="1"/>
        <v>0</v>
      </c>
      <c r="C113" s="20"/>
      <c r="D113" s="20"/>
      <c r="E113" s="20"/>
      <c r="F113" s="20"/>
      <c r="G113" s="20"/>
      <c r="H113" s="20"/>
      <c r="I113" s="20"/>
    </row>
    <row r="114" spans="1:9" x14ac:dyDescent="0.15">
      <c r="A114" s="3">
        <v>1945</v>
      </c>
      <c r="B114" s="27">
        <f t="shared" si="1"/>
        <v>0</v>
      </c>
      <c r="C114" s="20"/>
      <c r="D114" s="20"/>
      <c r="E114" s="20"/>
      <c r="F114" s="20"/>
      <c r="G114" s="20"/>
      <c r="H114" s="20"/>
      <c r="I114" s="20"/>
    </row>
    <row r="115" spans="1:9" x14ac:dyDescent="0.15">
      <c r="A115" s="3">
        <v>1946</v>
      </c>
      <c r="B115" s="27">
        <f t="shared" si="1"/>
        <v>12503.444292000002</v>
      </c>
      <c r="C115" s="20">
        <v>7970.5798000000004</v>
      </c>
      <c r="D115" s="20">
        <v>566.73149999999998</v>
      </c>
      <c r="E115" s="20">
        <v>2665.8861999999999</v>
      </c>
      <c r="F115" s="20">
        <v>650.12339199999997</v>
      </c>
      <c r="G115" s="20">
        <v>50.3874</v>
      </c>
      <c r="H115" s="20">
        <v>595.78099999999995</v>
      </c>
      <c r="I115" s="20">
        <v>3.9550000000000001</v>
      </c>
    </row>
    <row r="116" spans="1:9" x14ac:dyDescent="0.15">
      <c r="A116" s="3">
        <v>1947</v>
      </c>
      <c r="B116" s="27">
        <f t="shared" si="1"/>
        <v>0</v>
      </c>
      <c r="C116" s="20"/>
      <c r="D116" s="20"/>
      <c r="E116" s="20"/>
      <c r="F116" s="20"/>
      <c r="G116" s="20"/>
      <c r="H116" s="20"/>
      <c r="I116" s="20"/>
    </row>
    <row r="117" spans="1:9" x14ac:dyDescent="0.15">
      <c r="A117" s="3">
        <v>1948</v>
      </c>
      <c r="B117" s="27">
        <f t="shared" si="1"/>
        <v>14010.488091000001</v>
      </c>
      <c r="C117" s="20">
        <v>7451.2227149999999</v>
      </c>
      <c r="D117" s="20">
        <v>756.66849999999999</v>
      </c>
      <c r="E117" s="20">
        <v>3247.2076000000002</v>
      </c>
      <c r="F117" s="20">
        <v>1277.694626</v>
      </c>
      <c r="G117" s="20">
        <v>119.9004</v>
      </c>
      <c r="H117" s="20">
        <v>1155.50425</v>
      </c>
      <c r="I117" s="20">
        <v>2.29</v>
      </c>
    </row>
    <row r="118" spans="1:9" x14ac:dyDescent="0.15">
      <c r="A118" s="3">
        <v>1949</v>
      </c>
      <c r="B118" s="27">
        <f t="shared" si="1"/>
        <v>0</v>
      </c>
      <c r="C118" s="20"/>
      <c r="D118" s="20"/>
      <c r="E118" s="20"/>
      <c r="F118" s="20"/>
      <c r="G118" s="20"/>
      <c r="H118" s="20"/>
      <c r="I118" s="20"/>
    </row>
    <row r="119" spans="1:9" x14ac:dyDescent="0.15">
      <c r="A119" s="3">
        <v>1950</v>
      </c>
      <c r="B119" s="27">
        <f t="shared" si="1"/>
        <v>0</v>
      </c>
      <c r="C119" s="20"/>
      <c r="D119" s="20"/>
      <c r="E119" s="20"/>
      <c r="F119" s="20"/>
      <c r="G119" s="20"/>
      <c r="H119" s="20"/>
      <c r="I119" s="20"/>
    </row>
    <row r="120" spans="1:9" x14ac:dyDescent="0.15">
      <c r="A120" s="3">
        <v>1951</v>
      </c>
      <c r="B120" s="27">
        <f t="shared" si="1"/>
        <v>14860.408119999998</v>
      </c>
      <c r="C120" s="20">
        <v>6841.4</v>
      </c>
      <c r="D120" s="20">
        <v>1248</v>
      </c>
      <c r="E120" s="20">
        <v>3853.4</v>
      </c>
      <c r="F120" s="20">
        <v>1459.9140600000001</v>
      </c>
      <c r="G120" s="20">
        <v>103.571</v>
      </c>
      <c r="H120" s="20">
        <v>1354.1230599999999</v>
      </c>
      <c r="I120" s="20"/>
    </row>
    <row r="121" spans="1:9" x14ac:dyDescent="0.15">
      <c r="A121" s="3">
        <v>1952</v>
      </c>
      <c r="B121" s="27">
        <f t="shared" si="1"/>
        <v>0</v>
      </c>
      <c r="C121" s="20"/>
      <c r="D121" s="20"/>
      <c r="E121" s="20"/>
      <c r="F121" s="20"/>
      <c r="G121" s="20"/>
      <c r="H121" s="20"/>
      <c r="I121" s="20"/>
    </row>
    <row r="122" spans="1:9" x14ac:dyDescent="0.15">
      <c r="A122" s="3">
        <v>1953</v>
      </c>
      <c r="B122" s="27">
        <f t="shared" si="1"/>
        <v>0</v>
      </c>
      <c r="C122" s="20"/>
      <c r="D122" s="20"/>
      <c r="E122" s="20"/>
      <c r="F122" s="20"/>
      <c r="G122" s="20"/>
      <c r="H122" s="20"/>
      <c r="I122" s="20"/>
    </row>
    <row r="123" spans="1:9" x14ac:dyDescent="0.15">
      <c r="A123" s="3">
        <v>1954</v>
      </c>
      <c r="B123" s="27">
        <f t="shared" si="1"/>
        <v>20268.465919999995</v>
      </c>
      <c r="C123" s="20">
        <v>10781</v>
      </c>
      <c r="D123" s="20">
        <v>1220.8</v>
      </c>
      <c r="E123" s="20">
        <v>4674.3999999999996</v>
      </c>
      <c r="F123" s="20">
        <v>1796.1368600000001</v>
      </c>
      <c r="G123" s="20">
        <v>143.29519999999999</v>
      </c>
      <c r="H123" s="20">
        <v>1650.6638599999999</v>
      </c>
      <c r="I123" s="20">
        <v>2.17</v>
      </c>
    </row>
    <row r="124" spans="1:9" x14ac:dyDescent="0.15">
      <c r="A124" s="3">
        <v>1955</v>
      </c>
      <c r="B124" s="27">
        <f t="shared" si="1"/>
        <v>19070.099999999999</v>
      </c>
      <c r="C124" s="20">
        <v>11366.1</v>
      </c>
      <c r="D124" s="20">
        <v>1255.7</v>
      </c>
      <c r="E124" s="20">
        <v>5151.2</v>
      </c>
      <c r="F124" s="20">
        <v>1297.0999999999999</v>
      </c>
      <c r="G124" s="20"/>
      <c r="H124" s="20"/>
      <c r="I124" s="20"/>
    </row>
    <row r="125" spans="1:9" x14ac:dyDescent="0.15">
      <c r="A125" s="3">
        <v>1956</v>
      </c>
      <c r="B125" s="27">
        <f t="shared" si="1"/>
        <v>20165.5</v>
      </c>
      <c r="C125" s="20">
        <v>11387</v>
      </c>
      <c r="D125" s="20">
        <v>1386.8</v>
      </c>
      <c r="E125" s="20">
        <v>5571.8</v>
      </c>
      <c r="F125" s="20">
        <v>1819.9</v>
      </c>
      <c r="G125" s="20"/>
      <c r="H125" s="20"/>
      <c r="I125" s="20"/>
    </row>
    <row r="126" spans="1:9" x14ac:dyDescent="0.15">
      <c r="A126" s="3">
        <v>1957</v>
      </c>
      <c r="B126" s="27">
        <f t="shared" si="1"/>
        <v>23473.3</v>
      </c>
      <c r="C126" s="20">
        <v>12056.3</v>
      </c>
      <c r="D126" s="20">
        <v>1340</v>
      </c>
      <c r="E126" s="20">
        <v>6287</v>
      </c>
      <c r="F126" s="20">
        <v>1895</v>
      </c>
      <c r="G126" s="20">
        <v>221</v>
      </c>
      <c r="H126" s="20">
        <v>1674</v>
      </c>
      <c r="I126" s="20"/>
    </row>
    <row r="127" spans="1:9" x14ac:dyDescent="0.15">
      <c r="A127" s="3">
        <v>1958</v>
      </c>
      <c r="B127" s="27">
        <f t="shared" si="1"/>
        <v>23018.2</v>
      </c>
      <c r="C127" s="20">
        <v>12685.8</v>
      </c>
      <c r="D127" s="20">
        <v>1386</v>
      </c>
      <c r="E127" s="20">
        <v>7004</v>
      </c>
      <c r="F127" s="20">
        <v>1942.4</v>
      </c>
      <c r="G127" s="20"/>
      <c r="H127" s="20"/>
      <c r="I127" s="20"/>
    </row>
    <row r="128" spans="1:9" x14ac:dyDescent="0.15">
      <c r="A128" s="3">
        <v>1959</v>
      </c>
      <c r="B128" s="27">
        <f t="shared" si="1"/>
        <v>25463.200000000001</v>
      </c>
      <c r="C128" s="20">
        <v>14433.4</v>
      </c>
      <c r="D128" s="20">
        <v>1330.9</v>
      </c>
      <c r="E128" s="20">
        <v>7743.7</v>
      </c>
      <c r="F128" s="20">
        <v>1955.2</v>
      </c>
      <c r="G128" s="20"/>
      <c r="H128" s="20"/>
      <c r="I128" s="20"/>
    </row>
    <row r="129" spans="1:9" x14ac:dyDescent="0.15">
      <c r="A129" s="3">
        <v>1960</v>
      </c>
      <c r="B129" s="27">
        <f t="shared" si="1"/>
        <v>29387.599999999999</v>
      </c>
      <c r="C129" s="20">
        <v>15165.7</v>
      </c>
      <c r="D129" s="20">
        <v>1414.8</v>
      </c>
      <c r="E129" s="20">
        <v>8639.1</v>
      </c>
      <c r="F129" s="20">
        <v>2083</v>
      </c>
      <c r="G129" s="20">
        <v>250</v>
      </c>
      <c r="H129" s="20">
        <v>1835</v>
      </c>
      <c r="I129" s="20"/>
    </row>
    <row r="130" spans="1:9" x14ac:dyDescent="0.15">
      <c r="A130" s="3">
        <v>1961</v>
      </c>
      <c r="B130" s="27">
        <f t="shared" si="1"/>
        <v>27912</v>
      </c>
      <c r="C130" s="20">
        <v>14402</v>
      </c>
      <c r="D130" s="20">
        <v>1465</v>
      </c>
      <c r="E130" s="20">
        <v>9986</v>
      </c>
      <c r="F130" s="20">
        <v>2059</v>
      </c>
      <c r="G130" s="20"/>
      <c r="H130" s="20"/>
      <c r="I130" s="20"/>
    </row>
    <row r="131" spans="1:9" x14ac:dyDescent="0.15">
      <c r="A131" s="3">
        <v>1962</v>
      </c>
      <c r="B131" s="27">
        <f t="shared" si="1"/>
        <v>31514</v>
      </c>
      <c r="C131" s="20">
        <v>14639</v>
      </c>
      <c r="D131" s="20">
        <v>1693</v>
      </c>
      <c r="E131" s="20">
        <v>12146</v>
      </c>
      <c r="F131" s="20">
        <v>3036</v>
      </c>
      <c r="G131" s="20"/>
      <c r="H131" s="20"/>
      <c r="I131" s="20"/>
    </row>
    <row r="132" spans="1:9" x14ac:dyDescent="0.15">
      <c r="A132" s="3">
        <v>1963</v>
      </c>
      <c r="B132" s="27">
        <f t="shared" si="1"/>
        <v>35668</v>
      </c>
      <c r="C132" s="20">
        <v>16517</v>
      </c>
      <c r="D132" s="20">
        <v>1976</v>
      </c>
      <c r="E132" s="20">
        <v>13707</v>
      </c>
      <c r="F132" s="20">
        <v>3468</v>
      </c>
      <c r="G132" s="20"/>
      <c r="H132" s="20"/>
      <c r="I132" s="20"/>
    </row>
    <row r="133" spans="1:9" x14ac:dyDescent="0.15">
      <c r="A133" s="3">
        <v>1964</v>
      </c>
      <c r="B133" s="27">
        <f t="shared" ref="B133:B190" si="2">SUM(C133:I133)</f>
        <v>39288</v>
      </c>
      <c r="C133" s="20">
        <v>16628</v>
      </c>
      <c r="D133" s="20">
        <v>2342</v>
      </c>
      <c r="E133" s="20">
        <v>16385</v>
      </c>
      <c r="F133" s="20">
        <v>3933</v>
      </c>
      <c r="G133" s="20"/>
      <c r="H133" s="20"/>
      <c r="I133" s="20"/>
    </row>
    <row r="134" spans="1:9" x14ac:dyDescent="0.15">
      <c r="A134" s="3">
        <v>1965</v>
      </c>
      <c r="B134" s="27">
        <f t="shared" si="2"/>
        <v>42020</v>
      </c>
      <c r="C134" s="20">
        <v>16339</v>
      </c>
      <c r="D134" s="20">
        <v>2542</v>
      </c>
      <c r="E134" s="20">
        <v>18806</v>
      </c>
      <c r="F134" s="20">
        <v>4333</v>
      </c>
      <c r="G134" s="20"/>
      <c r="H134" s="20"/>
      <c r="I134" s="20"/>
    </row>
    <row r="135" spans="1:9" x14ac:dyDescent="0.15">
      <c r="A135" s="3">
        <v>1966</v>
      </c>
      <c r="B135" s="27">
        <f t="shared" si="2"/>
        <v>46811</v>
      </c>
      <c r="C135" s="20">
        <v>16199</v>
      </c>
      <c r="D135" s="20">
        <v>2686</v>
      </c>
      <c r="E135" s="20">
        <v>23127</v>
      </c>
      <c r="F135" s="20">
        <v>4799</v>
      </c>
      <c r="G135" s="20"/>
      <c r="H135" s="20"/>
      <c r="I135" s="20"/>
    </row>
    <row r="136" spans="1:9" x14ac:dyDescent="0.15">
      <c r="A136" s="3">
        <v>1967</v>
      </c>
      <c r="B136" s="27">
        <f t="shared" si="2"/>
        <v>54125</v>
      </c>
      <c r="C136" s="20">
        <v>17400</v>
      </c>
      <c r="D136" s="20">
        <v>2860</v>
      </c>
      <c r="E136" s="20">
        <v>27834</v>
      </c>
      <c r="F136" s="20">
        <v>6031</v>
      </c>
      <c r="G136" s="20"/>
      <c r="H136" s="20"/>
      <c r="I136" s="20"/>
    </row>
    <row r="137" spans="1:9" x14ac:dyDescent="0.15">
      <c r="A137" s="3">
        <v>1968</v>
      </c>
      <c r="B137" s="27">
        <f t="shared" si="2"/>
        <v>62932</v>
      </c>
      <c r="C137" s="20">
        <v>19552</v>
      </c>
      <c r="D137" s="20">
        <v>3026</v>
      </c>
      <c r="E137" s="20">
        <v>33199</v>
      </c>
      <c r="F137" s="20">
        <v>7155</v>
      </c>
      <c r="G137" s="20"/>
      <c r="H137" s="20"/>
      <c r="I137" s="20"/>
    </row>
    <row r="138" spans="1:9" x14ac:dyDescent="0.15">
      <c r="A138" s="3">
        <v>1969</v>
      </c>
      <c r="B138" s="27">
        <f t="shared" si="2"/>
        <v>73048</v>
      </c>
      <c r="C138" s="20">
        <v>21388</v>
      </c>
      <c r="D138" s="20">
        <v>3214</v>
      </c>
      <c r="E138" s="20">
        <v>40844</v>
      </c>
      <c r="F138" s="20">
        <v>7602</v>
      </c>
      <c r="G138" s="20"/>
      <c r="H138" s="20"/>
      <c r="I138" s="20"/>
    </row>
    <row r="139" spans="1:9" x14ac:dyDescent="0.15">
      <c r="A139" s="3">
        <v>1970</v>
      </c>
      <c r="B139" s="27">
        <f t="shared" si="2"/>
        <v>80870</v>
      </c>
      <c r="C139" s="20">
        <v>22117</v>
      </c>
      <c r="D139" s="20">
        <v>3382</v>
      </c>
      <c r="E139" s="20">
        <v>47289</v>
      </c>
      <c r="F139" s="20">
        <v>8082</v>
      </c>
      <c r="G139" s="20"/>
      <c r="H139" s="20"/>
      <c r="I139" s="20"/>
    </row>
    <row r="140" spans="1:9" x14ac:dyDescent="0.15">
      <c r="A140" s="3">
        <v>1971</v>
      </c>
      <c r="B140" s="27">
        <f t="shared" si="2"/>
        <v>93093</v>
      </c>
      <c r="C140" s="20">
        <v>24778</v>
      </c>
      <c r="D140" s="20">
        <v>3646</v>
      </c>
      <c r="E140" s="20">
        <v>55218</v>
      </c>
      <c r="F140" s="20">
        <v>9451</v>
      </c>
      <c r="G140" s="20"/>
      <c r="H140" s="20"/>
      <c r="I140" s="20"/>
    </row>
    <row r="141" spans="1:9" x14ac:dyDescent="0.15">
      <c r="A141" s="3">
        <v>1972</v>
      </c>
      <c r="B141" s="27">
        <f t="shared" si="2"/>
        <v>105912</v>
      </c>
      <c r="C141" s="20">
        <v>29339</v>
      </c>
      <c r="D141" s="20">
        <v>3974</v>
      </c>
      <c r="E141" s="20">
        <v>61978</v>
      </c>
      <c r="F141" s="20">
        <v>10621</v>
      </c>
      <c r="G141" s="20"/>
      <c r="H141" s="20"/>
      <c r="I141" s="20"/>
    </row>
    <row r="142" spans="1:9" x14ac:dyDescent="0.15">
      <c r="A142" s="3">
        <v>1973</v>
      </c>
      <c r="B142" s="27">
        <f t="shared" si="2"/>
        <v>123728</v>
      </c>
      <c r="C142" s="20">
        <v>37291</v>
      </c>
      <c r="D142" s="20">
        <v>4303</v>
      </c>
      <c r="E142" s="20">
        <v>70400</v>
      </c>
      <c r="F142" s="20">
        <v>11734</v>
      </c>
      <c r="G142" s="20"/>
      <c r="H142" s="20"/>
      <c r="I142" s="20"/>
    </row>
    <row r="143" spans="1:9" x14ac:dyDescent="0.15">
      <c r="A143" s="3">
        <v>1974</v>
      </c>
      <c r="B143" s="27">
        <f t="shared" si="2"/>
        <v>141185</v>
      </c>
      <c r="C143" s="20">
        <v>43336</v>
      </c>
      <c r="D143" s="20">
        <v>4609</v>
      </c>
      <c r="E143" s="20">
        <v>80600</v>
      </c>
      <c r="F143" s="20">
        <v>12640</v>
      </c>
      <c r="G143" s="20"/>
      <c r="H143" s="20"/>
      <c r="I143" s="20"/>
    </row>
    <row r="144" spans="1:9" x14ac:dyDescent="0.15">
      <c r="A144" s="3">
        <v>1975</v>
      </c>
      <c r="B144" s="27">
        <f t="shared" si="2"/>
        <v>164030</v>
      </c>
      <c r="C144" s="20">
        <v>52718</v>
      </c>
      <c r="D144" s="20">
        <v>4817</v>
      </c>
      <c r="E144" s="20">
        <v>91795</v>
      </c>
      <c r="F144" s="20">
        <v>14700</v>
      </c>
      <c r="G144" s="20"/>
      <c r="H144" s="20"/>
      <c r="I144" s="20"/>
    </row>
    <row r="145" spans="1:9" x14ac:dyDescent="0.15">
      <c r="A145" s="3">
        <v>1976</v>
      </c>
      <c r="B145" s="27">
        <f t="shared" si="2"/>
        <v>185213</v>
      </c>
      <c r="C145" s="20">
        <v>60741</v>
      </c>
      <c r="D145" s="20">
        <v>4984</v>
      </c>
      <c r="E145" s="20">
        <v>102456</v>
      </c>
      <c r="F145" s="20">
        <v>17032</v>
      </c>
      <c r="G145" s="20"/>
      <c r="H145" s="20"/>
      <c r="I145" s="20"/>
    </row>
    <row r="146" spans="1:9" x14ac:dyDescent="0.15">
      <c r="A146" s="3">
        <v>1977</v>
      </c>
      <c r="B146" s="27">
        <f t="shared" si="2"/>
        <v>204778</v>
      </c>
      <c r="C146" s="20">
        <v>65914</v>
      </c>
      <c r="D146" s="20">
        <v>4983</v>
      </c>
      <c r="E146" s="20">
        <v>114849</v>
      </c>
      <c r="F146" s="20">
        <v>19032</v>
      </c>
      <c r="G146" s="20"/>
      <c r="H146" s="20"/>
      <c r="I146" s="20"/>
    </row>
    <row r="147" spans="1:9" x14ac:dyDescent="0.15">
      <c r="A147" s="3">
        <v>1978</v>
      </c>
      <c r="B147" s="27">
        <f t="shared" si="2"/>
        <v>245245</v>
      </c>
      <c r="C147" s="20">
        <v>89551</v>
      </c>
      <c r="D147" s="20">
        <v>5033</v>
      </c>
      <c r="E147" s="20">
        <v>130025</v>
      </c>
      <c r="F147" s="20">
        <v>20636</v>
      </c>
      <c r="G147" s="20"/>
      <c r="H147" s="20"/>
      <c r="I147" s="20"/>
    </row>
    <row r="148" spans="1:9" x14ac:dyDescent="0.15">
      <c r="A148" s="3">
        <v>1979</v>
      </c>
      <c r="B148" s="27">
        <f t="shared" si="2"/>
        <v>282963</v>
      </c>
      <c r="C148" s="20">
        <v>110064</v>
      </c>
      <c r="D148" s="20">
        <v>4987</v>
      </c>
      <c r="E148" s="20">
        <v>145434</v>
      </c>
      <c r="F148" s="20">
        <v>22478</v>
      </c>
      <c r="G148" s="20"/>
      <c r="H148" s="20"/>
      <c r="I148" s="20"/>
    </row>
    <row r="149" spans="1:9" x14ac:dyDescent="0.15">
      <c r="A149" s="3">
        <v>1980</v>
      </c>
      <c r="B149" s="27">
        <f t="shared" si="2"/>
        <v>320971</v>
      </c>
      <c r="C149" s="20">
        <v>134090</v>
      </c>
      <c r="D149" s="20">
        <v>4839</v>
      </c>
      <c r="E149" s="20">
        <v>159680</v>
      </c>
      <c r="F149" s="20">
        <v>22362</v>
      </c>
      <c r="G149" s="20"/>
      <c r="H149" s="20"/>
      <c r="I149" s="20"/>
    </row>
    <row r="150" spans="1:9" x14ac:dyDescent="0.15">
      <c r="A150" s="3">
        <v>1981</v>
      </c>
      <c r="B150" s="27">
        <f t="shared" si="2"/>
        <v>397096</v>
      </c>
      <c r="C150" s="20">
        <v>187636</v>
      </c>
      <c r="D150" s="20">
        <v>4721</v>
      </c>
      <c r="E150" s="20">
        <v>181954</v>
      </c>
      <c r="F150" s="20">
        <v>22785</v>
      </c>
      <c r="G150" s="20"/>
      <c r="H150" s="20"/>
      <c r="I150" s="20"/>
    </row>
    <row r="151" spans="1:9" x14ac:dyDescent="0.15">
      <c r="A151" s="3">
        <v>1982</v>
      </c>
      <c r="B151" s="27">
        <f t="shared" si="2"/>
        <v>480040</v>
      </c>
      <c r="C151" s="20">
        <v>223174</v>
      </c>
      <c r="D151" s="20">
        <v>6939</v>
      </c>
      <c r="E151" s="20">
        <v>212443</v>
      </c>
      <c r="F151" s="20">
        <v>37484</v>
      </c>
      <c r="G151" s="20"/>
      <c r="H151" s="20"/>
      <c r="I151" s="20"/>
    </row>
    <row r="152" spans="1:9" x14ac:dyDescent="0.15">
      <c r="A152" s="3">
        <v>1983</v>
      </c>
      <c r="B152" s="27">
        <f t="shared" si="2"/>
        <v>588296</v>
      </c>
      <c r="C152" s="20">
        <v>298384</v>
      </c>
      <c r="D152" s="20">
        <v>7516</v>
      </c>
      <c r="E152" s="20">
        <v>240612</v>
      </c>
      <c r="F152" s="20">
        <v>41784</v>
      </c>
      <c r="G152" s="20"/>
      <c r="H152" s="20"/>
      <c r="I152" s="20"/>
    </row>
    <row r="153" spans="1:9" x14ac:dyDescent="0.15">
      <c r="A153" s="3">
        <v>1984</v>
      </c>
      <c r="B153" s="27">
        <f t="shared" si="2"/>
        <v>679605</v>
      </c>
      <c r="C153" s="20">
        <v>350019</v>
      </c>
      <c r="D153" s="20">
        <v>8004</v>
      </c>
      <c r="E153" s="20">
        <v>274709</v>
      </c>
      <c r="F153" s="20">
        <v>46873</v>
      </c>
      <c r="G153" s="20"/>
      <c r="H153" s="20"/>
      <c r="I153" s="20"/>
    </row>
    <row r="154" spans="1:9" x14ac:dyDescent="0.15">
      <c r="A154" s="3">
        <v>1985</v>
      </c>
      <c r="B154" s="27">
        <f t="shared" si="2"/>
        <v>737622</v>
      </c>
      <c r="C154" s="20">
        <v>357330</v>
      </c>
      <c r="D154" s="20">
        <v>8274</v>
      </c>
      <c r="E154" s="20">
        <v>319645</v>
      </c>
      <c r="F154" s="20">
        <v>52373</v>
      </c>
      <c r="G154" s="20"/>
      <c r="H154" s="20"/>
      <c r="I154" s="20"/>
    </row>
    <row r="155" spans="1:9" x14ac:dyDescent="0.15">
      <c r="A155" s="3">
        <v>1986</v>
      </c>
      <c r="B155" s="27">
        <f t="shared" si="2"/>
        <v>843474</v>
      </c>
      <c r="C155" s="20">
        <v>364597</v>
      </c>
      <c r="D155" s="20">
        <v>9715</v>
      </c>
      <c r="E155" s="20">
        <v>402377</v>
      </c>
      <c r="F155" s="20">
        <v>66785</v>
      </c>
      <c r="G155" s="20"/>
      <c r="H155" s="20"/>
      <c r="I155" s="20"/>
    </row>
    <row r="156" spans="1:9" x14ac:dyDescent="0.15">
      <c r="A156" s="3">
        <v>1987</v>
      </c>
      <c r="B156" s="27">
        <f t="shared" si="2"/>
        <v>891768</v>
      </c>
      <c r="C156" s="20">
        <v>356198</v>
      </c>
      <c r="D156" s="20">
        <v>9834</v>
      </c>
      <c r="E156" s="20">
        <v>454022</v>
      </c>
      <c r="F156" s="20">
        <v>71714</v>
      </c>
      <c r="G156" s="20"/>
      <c r="H156" s="20"/>
      <c r="I156" s="20"/>
    </row>
    <row r="157" spans="1:9" x14ac:dyDescent="0.15">
      <c r="A157" s="3">
        <v>1988</v>
      </c>
      <c r="B157" s="27">
        <f t="shared" si="2"/>
        <v>976435</v>
      </c>
      <c r="C157" s="20">
        <v>335628</v>
      </c>
      <c r="D157" s="20">
        <v>9175</v>
      </c>
      <c r="E157" s="20">
        <v>556500</v>
      </c>
      <c r="F157" s="20">
        <v>75132</v>
      </c>
      <c r="G157" s="20"/>
      <c r="H157" s="20"/>
      <c r="I157" s="20"/>
    </row>
    <row r="158" spans="1:9" x14ac:dyDescent="0.15">
      <c r="A158" s="3">
        <v>1989</v>
      </c>
      <c r="B158" s="27">
        <f t="shared" si="2"/>
        <v>1172352.5</v>
      </c>
      <c r="C158" s="20">
        <v>387468</v>
      </c>
      <c r="D158" s="20">
        <v>8720.5</v>
      </c>
      <c r="E158" s="20">
        <v>695722</v>
      </c>
      <c r="F158" s="20">
        <v>80442</v>
      </c>
      <c r="G158" s="20"/>
      <c r="H158" s="20"/>
      <c r="I158" s="20"/>
    </row>
    <row r="159" spans="1:9" x14ac:dyDescent="0.15">
      <c r="A159" s="3">
        <v>1990</v>
      </c>
      <c r="B159" s="27">
        <f t="shared" si="2"/>
        <v>1229422</v>
      </c>
      <c r="C159" s="20">
        <v>349994</v>
      </c>
      <c r="D159" s="20">
        <v>8266</v>
      </c>
      <c r="E159" s="20">
        <v>793111</v>
      </c>
      <c r="F159" s="20">
        <v>78051</v>
      </c>
      <c r="G159" s="20"/>
      <c r="H159" s="20"/>
      <c r="I159" s="20"/>
    </row>
    <row r="160" spans="1:9" x14ac:dyDescent="0.15">
      <c r="A160" s="3">
        <v>1991</v>
      </c>
      <c r="B160" s="27">
        <f t="shared" si="2"/>
        <v>1318788</v>
      </c>
      <c r="C160" s="20">
        <v>365635</v>
      </c>
      <c r="D160" s="20">
        <v>7670</v>
      </c>
      <c r="E160" s="20">
        <v>873651</v>
      </c>
      <c r="F160" s="20">
        <v>71832</v>
      </c>
      <c r="G160" s="20"/>
      <c r="H160" s="20"/>
      <c r="I160" s="20"/>
    </row>
    <row r="161" spans="1:9" x14ac:dyDescent="0.15">
      <c r="A161" s="3">
        <v>1992</v>
      </c>
      <c r="B161" s="27">
        <f t="shared" si="2"/>
        <v>1548253</v>
      </c>
      <c r="C161" s="20">
        <v>477842</v>
      </c>
      <c r="D161" s="20">
        <v>9884</v>
      </c>
      <c r="E161" s="20">
        <v>990395</v>
      </c>
      <c r="F161" s="20">
        <v>70132</v>
      </c>
      <c r="G161" s="20"/>
      <c r="H161" s="20"/>
      <c r="I161" s="20"/>
    </row>
    <row r="162" spans="1:9" x14ac:dyDescent="0.15">
      <c r="A162" s="3">
        <v>1993</v>
      </c>
      <c r="B162" s="27">
        <f t="shared" si="2"/>
        <v>1967784</v>
      </c>
      <c r="C162" s="20">
        <v>766800</v>
      </c>
      <c r="D162" s="20">
        <v>15205</v>
      </c>
      <c r="E162" s="20">
        <v>1109728</v>
      </c>
      <c r="F162" s="20">
        <v>76051</v>
      </c>
      <c r="G162" s="20"/>
      <c r="H162" s="20"/>
      <c r="I162" s="20"/>
    </row>
    <row r="163" spans="1:9" x14ac:dyDescent="0.15">
      <c r="A163" s="3">
        <v>1994</v>
      </c>
      <c r="B163" s="27">
        <f t="shared" si="2"/>
        <v>2038072</v>
      </c>
      <c r="C163" s="20">
        <v>898233</v>
      </c>
      <c r="D163" s="20">
        <v>16643</v>
      </c>
      <c r="E163" s="20">
        <v>1057070</v>
      </c>
      <c r="F163" s="20">
        <v>66126</v>
      </c>
      <c r="G163" s="20"/>
      <c r="H163" s="20"/>
      <c r="I163" s="20"/>
    </row>
    <row r="164" spans="1:9" x14ac:dyDescent="0.15">
      <c r="A164" s="3">
        <v>1995</v>
      </c>
      <c r="B164" s="27">
        <f t="shared" si="2"/>
        <v>2205419</v>
      </c>
      <c r="C164" s="20">
        <v>1148273</v>
      </c>
      <c r="D164" s="20">
        <v>16002</v>
      </c>
      <c r="E164" s="20">
        <v>979002</v>
      </c>
      <c r="F164" s="20">
        <v>62142</v>
      </c>
      <c r="G164" s="20"/>
      <c r="H164" s="20"/>
      <c r="I164" s="20"/>
    </row>
    <row r="165" spans="1:9" x14ac:dyDescent="0.15">
      <c r="A165" s="3">
        <v>1996</v>
      </c>
      <c r="B165" s="27">
        <f t="shared" si="2"/>
        <v>2382695</v>
      </c>
      <c r="C165" s="20">
        <v>1292540</v>
      </c>
      <c r="D165" s="20">
        <v>15242</v>
      </c>
      <c r="E165" s="20">
        <v>1004197</v>
      </c>
      <c r="F165" s="20">
        <v>70716</v>
      </c>
      <c r="G165" s="20"/>
      <c r="H165" s="20"/>
      <c r="I165" s="20"/>
    </row>
    <row r="166" spans="1:9" x14ac:dyDescent="0.15">
      <c r="A166" s="3">
        <v>1997</v>
      </c>
      <c r="B166" s="27">
        <f t="shared" si="2"/>
        <v>2468302</v>
      </c>
      <c r="C166" s="20">
        <v>1345374</v>
      </c>
      <c r="D166" s="20">
        <v>21821</v>
      </c>
      <c r="E166" s="20">
        <v>1003381</v>
      </c>
      <c r="F166" s="20">
        <v>97726</v>
      </c>
      <c r="G166" s="20"/>
      <c r="H166" s="20"/>
      <c r="I166" s="20"/>
    </row>
    <row r="167" spans="1:9" x14ac:dyDescent="0.15">
      <c r="A167" s="3">
        <v>1998</v>
      </c>
      <c r="B167" s="27">
        <f t="shared" si="2"/>
        <v>2618402</v>
      </c>
      <c r="C167" s="20">
        <v>1387627</v>
      </c>
      <c r="D167" s="20">
        <v>20380</v>
      </c>
      <c r="E167" s="20">
        <v>1099356</v>
      </c>
      <c r="F167" s="20">
        <v>111039</v>
      </c>
      <c r="G167" s="20"/>
      <c r="H167" s="20"/>
      <c r="I167" s="20"/>
    </row>
    <row r="168" spans="1:9" x14ac:dyDescent="0.15">
      <c r="A168" s="3">
        <v>1999</v>
      </c>
      <c r="B168" s="27">
        <f t="shared" si="2"/>
        <v>2475229</v>
      </c>
      <c r="C168" s="20">
        <v>1219693</v>
      </c>
      <c r="D168" s="20">
        <v>16981</v>
      </c>
      <c r="E168" s="20">
        <v>1099214</v>
      </c>
      <c r="F168" s="20">
        <v>139341</v>
      </c>
      <c r="G168" s="20"/>
      <c r="H168" s="20"/>
      <c r="I168" s="20"/>
    </row>
    <row r="169" spans="1:9" x14ac:dyDescent="0.15">
      <c r="A169" s="3">
        <v>2000</v>
      </c>
      <c r="B169" s="27">
        <f t="shared" si="2"/>
        <v>2375010</v>
      </c>
      <c r="C169" s="20">
        <v>1119622</v>
      </c>
      <c r="D169" s="20">
        <v>15779</v>
      </c>
      <c r="E169" s="20">
        <v>1041526</v>
      </c>
      <c r="F169" s="20">
        <v>198083</v>
      </c>
      <c r="G169" s="20"/>
      <c r="H169" s="20"/>
      <c r="I169" s="20"/>
    </row>
    <row r="170" spans="1:9" x14ac:dyDescent="0.15">
      <c r="A170" s="3">
        <v>2001</v>
      </c>
      <c r="B170" s="27">
        <f t="shared" si="2"/>
        <v>2232228</v>
      </c>
      <c r="C170" s="20">
        <v>951710</v>
      </c>
      <c r="D170" s="20">
        <v>15570</v>
      </c>
      <c r="E170" s="20">
        <v>1013929</v>
      </c>
      <c r="F170" s="20">
        <v>251019</v>
      </c>
      <c r="G170" s="20"/>
      <c r="H170" s="20"/>
      <c r="I170" s="20"/>
    </row>
    <row r="171" spans="1:9" x14ac:dyDescent="0.15">
      <c r="A171" s="3">
        <v>2002</v>
      </c>
      <c r="B171" s="27">
        <f t="shared" si="2"/>
        <v>2340892</v>
      </c>
      <c r="C171" s="20">
        <v>1002564</v>
      </c>
      <c r="D171" s="20">
        <v>17160</v>
      </c>
      <c r="E171" s="20">
        <v>1051650</v>
      </c>
      <c r="F171" s="20">
        <v>269518</v>
      </c>
      <c r="G171" s="20"/>
      <c r="H171" s="20"/>
      <c r="I171" s="20"/>
    </row>
    <row r="172" spans="1:9" x14ac:dyDescent="0.15">
      <c r="A172" s="3">
        <v>2003</v>
      </c>
      <c r="B172" s="27">
        <f t="shared" si="2"/>
        <v>2518692</v>
      </c>
      <c r="C172" s="20">
        <v>1030961</v>
      </c>
      <c r="D172" s="20">
        <v>20831</v>
      </c>
      <c r="E172" s="20">
        <v>1171105</v>
      </c>
      <c r="F172" s="20">
        <v>295795</v>
      </c>
      <c r="G172" s="20"/>
      <c r="H172" s="20"/>
      <c r="I172" s="20"/>
    </row>
    <row r="173" spans="1:9" x14ac:dyDescent="0.15">
      <c r="A173" s="3">
        <v>2004</v>
      </c>
      <c r="B173" s="27">
        <f t="shared" si="2"/>
        <v>2586853</v>
      </c>
      <c r="C173" s="20">
        <v>1135631</v>
      </c>
      <c r="D173" s="20">
        <v>19789</v>
      </c>
      <c r="E173" s="20">
        <v>1166901</v>
      </c>
      <c r="F173" s="20">
        <v>264532</v>
      </c>
      <c r="G173" s="20"/>
      <c r="H173" s="20"/>
      <c r="I173" s="20"/>
    </row>
    <row r="174" spans="1:9" x14ac:dyDescent="0.15">
      <c r="A174" s="3">
        <v>2005</v>
      </c>
      <c r="B174" s="27">
        <f t="shared" si="2"/>
        <v>2969082</v>
      </c>
      <c r="C174" s="20">
        <v>1101868</v>
      </c>
      <c r="D174" s="20">
        <v>22871</v>
      </c>
      <c r="E174" s="20">
        <v>1524110</v>
      </c>
      <c r="F174" s="20">
        <v>320233</v>
      </c>
      <c r="G174" s="20"/>
      <c r="H174" s="20"/>
      <c r="I174" s="20"/>
    </row>
    <row r="175" spans="1:9" x14ac:dyDescent="0.15">
      <c r="A175" s="3">
        <v>2006</v>
      </c>
      <c r="B175" s="27">
        <f t="shared" si="2"/>
        <v>3126179</v>
      </c>
      <c r="C175" s="20">
        <v>1042814</v>
      </c>
      <c r="D175" s="20">
        <v>28679</v>
      </c>
      <c r="E175" s="20">
        <v>1746186</v>
      </c>
      <c r="F175" s="20">
        <v>308500</v>
      </c>
      <c r="G175" s="20"/>
      <c r="H175" s="20"/>
      <c r="I175" s="20"/>
    </row>
    <row r="176" spans="1:9" x14ac:dyDescent="0.15">
      <c r="A176" s="3">
        <v>2007</v>
      </c>
      <c r="B176" s="27">
        <f t="shared" si="2"/>
        <v>3400659</v>
      </c>
      <c r="C176" s="20">
        <v>977361</v>
      </c>
      <c r="D176" s="20">
        <v>28476</v>
      </c>
      <c r="E176" s="20">
        <v>2036811</v>
      </c>
      <c r="F176" s="20">
        <v>358011</v>
      </c>
      <c r="G176" s="20"/>
      <c r="H176" s="20"/>
      <c r="I176" s="20"/>
    </row>
    <row r="177" spans="1:9" x14ac:dyDescent="0.15">
      <c r="A177" s="3">
        <v>2008</v>
      </c>
      <c r="B177" s="27">
        <f t="shared" si="2"/>
        <v>4022687</v>
      </c>
      <c r="C177" s="20">
        <v>965438</v>
      </c>
      <c r="D177" s="20">
        <v>23574</v>
      </c>
      <c r="E177" s="20">
        <v>2605304</v>
      </c>
      <c r="F177" s="20">
        <v>428371</v>
      </c>
      <c r="G177" s="20"/>
      <c r="H177" s="20"/>
      <c r="I177" s="20"/>
    </row>
    <row r="178" spans="1:9" x14ac:dyDescent="0.15">
      <c r="A178" s="3">
        <v>2009</v>
      </c>
      <c r="B178" s="27">
        <f t="shared" si="2"/>
        <v>4521365</v>
      </c>
      <c r="C178" s="20">
        <v>970288</v>
      </c>
      <c r="D178" s="20">
        <v>28731</v>
      </c>
      <c r="E178" s="20">
        <v>3010207</v>
      </c>
      <c r="F178" s="20">
        <v>512139</v>
      </c>
      <c r="G178" s="20"/>
      <c r="H178" s="20"/>
      <c r="I178" s="20"/>
    </row>
    <row r="179" spans="1:9" x14ac:dyDescent="0.15">
      <c r="A179" s="3">
        <v>2010</v>
      </c>
      <c r="B179" s="27">
        <f t="shared" si="2"/>
        <v>4698908</v>
      </c>
      <c r="C179" s="20">
        <v>1011258</v>
      </c>
      <c r="D179" s="20">
        <v>30816</v>
      </c>
      <c r="E179" s="20">
        <v>3187239</v>
      </c>
      <c r="F179" s="20">
        <v>469595</v>
      </c>
      <c r="G179" s="20"/>
      <c r="H179" s="20"/>
      <c r="I179" s="20"/>
    </row>
    <row r="180" spans="1:9" x14ac:dyDescent="0.15">
      <c r="A180" s="3">
        <v>2011</v>
      </c>
      <c r="B180" s="27">
        <f t="shared" si="2"/>
        <v>5016389</v>
      </c>
      <c r="C180" s="20">
        <v>1037672</v>
      </c>
      <c r="D180" s="20">
        <v>44277</v>
      </c>
      <c r="E180" s="20">
        <v>3435388</v>
      </c>
      <c r="F180" s="20">
        <v>499052</v>
      </c>
      <c r="G180" s="20"/>
      <c r="H180" s="20"/>
      <c r="I180" s="20"/>
    </row>
    <row r="181" spans="1:9" x14ac:dyDescent="0.15">
      <c r="A181" s="3">
        <v>2012</v>
      </c>
      <c r="B181" s="27">
        <f t="shared" si="2"/>
        <v>5092410</v>
      </c>
      <c r="C181" s="20">
        <v>969461</v>
      </c>
      <c r="D181" s="20">
        <v>61491</v>
      </c>
      <c r="E181" s="20">
        <v>3501124</v>
      </c>
      <c r="F181" s="20">
        <v>560334</v>
      </c>
      <c r="G181" s="20"/>
      <c r="H181" s="20"/>
      <c r="I181" s="20"/>
    </row>
    <row r="182" spans="1:9" x14ac:dyDescent="0.15">
      <c r="A182" s="3">
        <v>2013</v>
      </c>
      <c r="B182" s="27">
        <f t="shared" si="2"/>
        <v>5389602</v>
      </c>
      <c r="C182" s="20">
        <v>1007624</v>
      </c>
      <c r="D182" s="20">
        <v>76744</v>
      </c>
      <c r="E182" s="20">
        <v>3691048</v>
      </c>
      <c r="F182" s="20">
        <v>614186</v>
      </c>
      <c r="G182" s="20"/>
      <c r="H182" s="20"/>
      <c r="I182" s="20"/>
    </row>
    <row r="183" spans="1:9" x14ac:dyDescent="0.15">
      <c r="A183" s="3">
        <v>2014</v>
      </c>
      <c r="B183" s="27">
        <f t="shared" si="2"/>
        <v>5780915</v>
      </c>
      <c r="C183" s="20">
        <v>1050944</v>
      </c>
      <c r="D183" s="20">
        <v>105131</v>
      </c>
      <c r="E183" s="20">
        <v>3941610</v>
      </c>
      <c r="F183" s="20">
        <v>683230</v>
      </c>
      <c r="G183" s="20"/>
      <c r="H183" s="20"/>
      <c r="I183" s="20"/>
    </row>
    <row r="184" spans="1:9" x14ac:dyDescent="0.15">
      <c r="A184" s="3">
        <v>2015</v>
      </c>
      <c r="B184" s="27">
        <f t="shared" si="2"/>
        <v>6014888</v>
      </c>
      <c r="C184" s="20">
        <v>1078876</v>
      </c>
      <c r="D184" s="20">
        <v>132435</v>
      </c>
      <c r="E184" s="20">
        <v>4070860</v>
      </c>
      <c r="F184" s="20">
        <v>732717</v>
      </c>
      <c r="G184" s="20"/>
      <c r="H184" s="20"/>
      <c r="I184" s="20"/>
    </row>
    <row r="185" spans="1:9" x14ac:dyDescent="0.15">
      <c r="A185" s="3">
        <v>2016</v>
      </c>
      <c r="B185" s="27">
        <f t="shared" si="2"/>
        <v>6373498</v>
      </c>
      <c r="C185" s="20">
        <v>1137840</v>
      </c>
      <c r="D185" s="20">
        <v>141290</v>
      </c>
      <c r="E185" s="20">
        <v>4302042</v>
      </c>
      <c r="F185" s="20">
        <v>792326</v>
      </c>
      <c r="G185" s="20"/>
      <c r="H185" s="20"/>
      <c r="I185" s="20"/>
    </row>
    <row r="186" spans="1:9" x14ac:dyDescent="0.15">
      <c r="A186" s="3">
        <v>2017</v>
      </c>
      <c r="B186" s="27">
        <f t="shared" si="2"/>
        <v>6419270</v>
      </c>
      <c r="C186" s="20">
        <v>1079899</v>
      </c>
      <c r="D186" s="20">
        <v>150193</v>
      </c>
      <c r="E186" s="20">
        <v>4230701</v>
      </c>
      <c r="F186" s="20">
        <v>958477</v>
      </c>
      <c r="G186" s="20"/>
      <c r="H186" s="20"/>
      <c r="I186" s="20"/>
    </row>
    <row r="187" spans="1:9" x14ac:dyDescent="0.15">
      <c r="A187" s="3">
        <v>2018</v>
      </c>
      <c r="B187" s="27">
        <f t="shared" si="2"/>
        <v>6382252</v>
      </c>
      <c r="C187" s="20">
        <v>1103280</v>
      </c>
      <c r="D187" s="20">
        <v>160506</v>
      </c>
      <c r="E187" s="20">
        <v>4056007</v>
      </c>
      <c r="F187" s="20">
        <v>1062459</v>
      </c>
      <c r="G187" s="20"/>
      <c r="H187" s="20"/>
      <c r="I187" s="20"/>
    </row>
    <row r="188" spans="1:9" x14ac:dyDescent="0.15">
      <c r="A188" s="3">
        <v>2019</v>
      </c>
      <c r="B188" s="27">
        <f t="shared" si="2"/>
        <v>6681535</v>
      </c>
      <c r="C188" s="20">
        <v>951650</v>
      </c>
      <c r="D188" s="20">
        <v>178504</v>
      </c>
      <c r="E188" s="20">
        <v>4334130</v>
      </c>
      <c r="F188" s="20">
        <v>1217251</v>
      </c>
      <c r="G188" s="20"/>
      <c r="H188" s="20"/>
      <c r="I188" s="20"/>
    </row>
    <row r="189" spans="1:9" x14ac:dyDescent="0.15">
      <c r="A189" s="3">
        <v>2020</v>
      </c>
      <c r="B189" s="27">
        <f t="shared" si="2"/>
        <v>6719305</v>
      </c>
      <c r="C189" s="22">
        <v>955912</v>
      </c>
      <c r="D189" s="22">
        <v>192585</v>
      </c>
      <c r="E189" s="22">
        <v>4253327</v>
      </c>
      <c r="F189" s="22">
        <v>1317481</v>
      </c>
      <c r="G189" s="22"/>
      <c r="H189" s="22"/>
      <c r="I189" s="22"/>
    </row>
    <row r="190" spans="1:9" x14ac:dyDescent="0.15">
      <c r="A190" s="18">
        <v>2021</v>
      </c>
      <c r="B190" s="40">
        <f t="shared" si="2"/>
        <v>7004961</v>
      </c>
      <c r="C190" s="23">
        <v>1055773</v>
      </c>
      <c r="D190" s="23">
        <v>210316</v>
      </c>
      <c r="E190" s="23">
        <v>4322654</v>
      </c>
      <c r="F190" s="23">
        <v>1416218</v>
      </c>
      <c r="G190" s="23"/>
      <c r="H190" s="23"/>
      <c r="I190" s="23"/>
    </row>
  </sheetData>
  <mergeCells count="1">
    <mergeCell ref="B2:I2"/>
  </mergeCells>
  <hyperlinks>
    <hyperlink ref="A2" location="Front!A1" display="Front!A1" xr:uid="{D8CF1147-0EB0-4195-BC18-642B638CBF81}"/>
  </hyperlink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08A2-8DCD-AD4B-8589-B6F8784985A6}">
  <dimension ref="A1:I190"/>
  <sheetViews>
    <sheetView tabSelected="1" workbookViewId="0">
      <pane ySplit="4" topLeftCell="A5" activePane="bottomLeft" state="frozen"/>
      <selection pane="bottomLeft" activeCell="I5" sqref="I5"/>
    </sheetView>
  </sheetViews>
  <sheetFormatPr baseColWidth="10" defaultColWidth="10.6640625" defaultRowHeight="13" x14ac:dyDescent="0.15"/>
  <cols>
    <col min="1" max="1" width="10.6640625" style="1" customWidth="1"/>
    <col min="2" max="9" width="15.6640625" style="1" customWidth="1"/>
    <col min="10" max="256" width="8.83203125" style="1" customWidth="1"/>
    <col min="257" max="257" width="10.6640625" style="1" customWidth="1"/>
    <col min="258" max="265" width="14.6640625" style="1" customWidth="1"/>
    <col min="266" max="512" width="8.83203125" style="1" customWidth="1"/>
    <col min="513" max="513" width="10.6640625" style="1" customWidth="1"/>
    <col min="514" max="521" width="14.6640625" style="1" customWidth="1"/>
    <col min="522" max="768" width="8.83203125" style="1" customWidth="1"/>
    <col min="769" max="769" width="10.6640625" style="1" customWidth="1"/>
    <col min="770" max="777" width="14.6640625" style="1" customWidth="1"/>
    <col min="778" max="1024" width="8.83203125" style="1" customWidth="1"/>
    <col min="1025" max="1025" width="10.6640625" style="1" customWidth="1"/>
    <col min="1026" max="1033" width="14.6640625" style="1" customWidth="1"/>
    <col min="1034" max="1280" width="8.83203125" style="1" customWidth="1"/>
    <col min="1281" max="1281" width="10.6640625" style="1" customWidth="1"/>
    <col min="1282" max="1289" width="14.6640625" style="1" customWidth="1"/>
    <col min="1290" max="1536" width="8.83203125" style="1" customWidth="1"/>
    <col min="1537" max="1537" width="10.6640625" style="1" customWidth="1"/>
    <col min="1538" max="1545" width="14.6640625" style="1" customWidth="1"/>
    <col min="1546" max="1792" width="8.83203125" style="1" customWidth="1"/>
    <col min="1793" max="1793" width="10.6640625" style="1" customWidth="1"/>
    <col min="1794" max="1801" width="14.6640625" style="1" customWidth="1"/>
    <col min="1802" max="2048" width="8.83203125" style="1" customWidth="1"/>
    <col min="2049" max="2049" width="10.6640625" style="1" customWidth="1"/>
    <col min="2050" max="2057" width="14.6640625" style="1" customWidth="1"/>
    <col min="2058" max="2304" width="8.83203125" style="1" customWidth="1"/>
    <col min="2305" max="2305" width="10.6640625" style="1" customWidth="1"/>
    <col min="2306" max="2313" width="14.6640625" style="1" customWidth="1"/>
    <col min="2314" max="2560" width="8.83203125" style="1" customWidth="1"/>
    <col min="2561" max="2561" width="10.6640625" style="1" customWidth="1"/>
    <col min="2562" max="2569" width="14.6640625" style="1" customWidth="1"/>
    <col min="2570" max="2816" width="8.83203125" style="1" customWidth="1"/>
    <col min="2817" max="2817" width="10.6640625" style="1" customWidth="1"/>
    <col min="2818" max="2825" width="14.6640625" style="1" customWidth="1"/>
    <col min="2826" max="3072" width="8.83203125" style="1" customWidth="1"/>
    <col min="3073" max="3073" width="10.6640625" style="1" customWidth="1"/>
    <col min="3074" max="3081" width="14.6640625" style="1" customWidth="1"/>
    <col min="3082" max="3328" width="8.83203125" style="1" customWidth="1"/>
    <col min="3329" max="3329" width="10.6640625" style="1" customWidth="1"/>
    <col min="3330" max="3337" width="14.6640625" style="1" customWidth="1"/>
    <col min="3338" max="3584" width="8.83203125" style="1" customWidth="1"/>
    <col min="3585" max="3585" width="10.6640625" style="1" customWidth="1"/>
    <col min="3586" max="3593" width="14.6640625" style="1" customWidth="1"/>
    <col min="3594" max="3840" width="8.83203125" style="1" customWidth="1"/>
    <col min="3841" max="3841" width="10.6640625" style="1" customWidth="1"/>
    <col min="3842" max="3849" width="14.6640625" style="1" customWidth="1"/>
    <col min="3850" max="4096" width="8.83203125" style="1" customWidth="1"/>
    <col min="4097" max="4097" width="10.6640625" style="1" customWidth="1"/>
    <col min="4098" max="4105" width="14.6640625" style="1" customWidth="1"/>
    <col min="4106" max="4352" width="8.83203125" style="1" customWidth="1"/>
    <col min="4353" max="4353" width="10.6640625" style="1" customWidth="1"/>
    <col min="4354" max="4361" width="14.6640625" style="1" customWidth="1"/>
    <col min="4362" max="4608" width="8.83203125" style="1" customWidth="1"/>
    <col min="4609" max="4609" width="10.6640625" style="1" customWidth="1"/>
    <col min="4610" max="4617" width="14.6640625" style="1" customWidth="1"/>
    <col min="4618" max="4864" width="8.83203125" style="1" customWidth="1"/>
    <col min="4865" max="4865" width="10.6640625" style="1" customWidth="1"/>
    <col min="4866" max="4873" width="14.6640625" style="1" customWidth="1"/>
    <col min="4874" max="5120" width="8.83203125" style="1" customWidth="1"/>
    <col min="5121" max="5121" width="10.6640625" style="1" customWidth="1"/>
    <col min="5122" max="5129" width="14.6640625" style="1" customWidth="1"/>
    <col min="5130" max="5376" width="8.83203125" style="1" customWidth="1"/>
    <col min="5377" max="5377" width="10.6640625" style="1" customWidth="1"/>
    <col min="5378" max="5385" width="14.6640625" style="1" customWidth="1"/>
    <col min="5386" max="5632" width="8.83203125" style="1" customWidth="1"/>
    <col min="5633" max="5633" width="10.6640625" style="1" customWidth="1"/>
    <col min="5634" max="5641" width="14.6640625" style="1" customWidth="1"/>
    <col min="5642" max="5888" width="8.83203125" style="1" customWidth="1"/>
    <col min="5889" max="5889" width="10.6640625" style="1" customWidth="1"/>
    <col min="5890" max="5897" width="14.6640625" style="1" customWidth="1"/>
    <col min="5898" max="6144" width="8.83203125" style="1" customWidth="1"/>
    <col min="6145" max="6145" width="10.6640625" style="1" customWidth="1"/>
    <col min="6146" max="6153" width="14.6640625" style="1" customWidth="1"/>
    <col min="6154" max="6400" width="8.83203125" style="1" customWidth="1"/>
    <col min="6401" max="6401" width="10.6640625" style="1" customWidth="1"/>
    <col min="6402" max="6409" width="14.6640625" style="1" customWidth="1"/>
    <col min="6410" max="6656" width="8.83203125" style="1" customWidth="1"/>
    <col min="6657" max="6657" width="10.6640625" style="1" customWidth="1"/>
    <col min="6658" max="6665" width="14.6640625" style="1" customWidth="1"/>
    <col min="6666" max="6912" width="8.83203125" style="1" customWidth="1"/>
    <col min="6913" max="6913" width="10.6640625" style="1" customWidth="1"/>
    <col min="6914" max="6921" width="14.6640625" style="1" customWidth="1"/>
    <col min="6922" max="7168" width="8.83203125" style="1" customWidth="1"/>
    <col min="7169" max="7169" width="10.6640625" style="1" customWidth="1"/>
    <col min="7170" max="7177" width="14.6640625" style="1" customWidth="1"/>
    <col min="7178" max="7424" width="8.83203125" style="1" customWidth="1"/>
    <col min="7425" max="7425" width="10.6640625" style="1" customWidth="1"/>
    <col min="7426" max="7433" width="14.6640625" style="1" customWidth="1"/>
    <col min="7434" max="7680" width="8.83203125" style="1" customWidth="1"/>
    <col min="7681" max="7681" width="10.6640625" style="1" customWidth="1"/>
    <col min="7682" max="7689" width="14.6640625" style="1" customWidth="1"/>
    <col min="7690" max="7936" width="8.83203125" style="1" customWidth="1"/>
    <col min="7937" max="7937" width="10.6640625" style="1" customWidth="1"/>
    <col min="7938" max="7945" width="14.6640625" style="1" customWidth="1"/>
    <col min="7946" max="8192" width="8.83203125" style="1" customWidth="1"/>
    <col min="8193" max="8193" width="10.6640625" style="1" customWidth="1"/>
    <col min="8194" max="8201" width="14.6640625" style="1" customWidth="1"/>
    <col min="8202" max="8448" width="8.83203125" style="1" customWidth="1"/>
    <col min="8449" max="8449" width="10.6640625" style="1" customWidth="1"/>
    <col min="8450" max="8457" width="14.6640625" style="1" customWidth="1"/>
    <col min="8458" max="8704" width="8.83203125" style="1" customWidth="1"/>
    <col min="8705" max="8705" width="10.6640625" style="1" customWidth="1"/>
    <col min="8706" max="8713" width="14.6640625" style="1" customWidth="1"/>
    <col min="8714" max="8960" width="8.83203125" style="1" customWidth="1"/>
    <col min="8961" max="8961" width="10.6640625" style="1" customWidth="1"/>
    <col min="8962" max="8969" width="14.6640625" style="1" customWidth="1"/>
    <col min="8970" max="9216" width="8.83203125" style="1" customWidth="1"/>
    <col min="9217" max="9217" width="10.6640625" style="1" customWidth="1"/>
    <col min="9218" max="9225" width="14.6640625" style="1" customWidth="1"/>
    <col min="9226" max="9472" width="8.83203125" style="1" customWidth="1"/>
    <col min="9473" max="9473" width="10.6640625" style="1" customWidth="1"/>
    <col min="9474" max="9481" width="14.6640625" style="1" customWidth="1"/>
    <col min="9482" max="9728" width="8.83203125" style="1" customWidth="1"/>
    <col min="9729" max="9729" width="10.6640625" style="1" customWidth="1"/>
    <col min="9730" max="9737" width="14.6640625" style="1" customWidth="1"/>
    <col min="9738" max="9984" width="8.83203125" style="1" customWidth="1"/>
    <col min="9985" max="9985" width="10.6640625" style="1" customWidth="1"/>
    <col min="9986" max="9993" width="14.6640625" style="1" customWidth="1"/>
    <col min="9994" max="10240" width="8.83203125" style="1" customWidth="1"/>
    <col min="10241" max="10241" width="10.6640625" style="1" customWidth="1"/>
    <col min="10242" max="10249" width="14.6640625" style="1" customWidth="1"/>
    <col min="10250" max="10496" width="8.83203125" style="1" customWidth="1"/>
    <col min="10497" max="10497" width="10.6640625" style="1" customWidth="1"/>
    <col min="10498" max="10505" width="14.6640625" style="1" customWidth="1"/>
    <col min="10506" max="10752" width="8.83203125" style="1" customWidth="1"/>
    <col min="10753" max="10753" width="10.6640625" style="1" customWidth="1"/>
    <col min="10754" max="10761" width="14.6640625" style="1" customWidth="1"/>
    <col min="10762" max="11008" width="8.83203125" style="1" customWidth="1"/>
    <col min="11009" max="11009" width="10.6640625" style="1" customWidth="1"/>
    <col min="11010" max="11017" width="14.6640625" style="1" customWidth="1"/>
    <col min="11018" max="11264" width="8.83203125" style="1" customWidth="1"/>
    <col min="11265" max="11265" width="10.6640625" style="1" customWidth="1"/>
    <col min="11266" max="11273" width="14.6640625" style="1" customWidth="1"/>
    <col min="11274" max="11520" width="8.83203125" style="1" customWidth="1"/>
    <col min="11521" max="11521" width="10.6640625" style="1" customWidth="1"/>
    <col min="11522" max="11529" width="14.6640625" style="1" customWidth="1"/>
    <col min="11530" max="11776" width="8.83203125" style="1" customWidth="1"/>
    <col min="11777" max="11777" width="10.6640625" style="1" customWidth="1"/>
    <col min="11778" max="11785" width="14.6640625" style="1" customWidth="1"/>
    <col min="11786" max="12032" width="8.83203125" style="1" customWidth="1"/>
    <col min="12033" max="12033" width="10.6640625" style="1" customWidth="1"/>
    <col min="12034" max="12041" width="14.6640625" style="1" customWidth="1"/>
    <col min="12042" max="12288" width="8.83203125" style="1" customWidth="1"/>
    <col min="12289" max="12289" width="10.6640625" style="1" customWidth="1"/>
    <col min="12290" max="12297" width="14.6640625" style="1" customWidth="1"/>
    <col min="12298" max="12544" width="8.83203125" style="1" customWidth="1"/>
    <col min="12545" max="12545" width="10.6640625" style="1" customWidth="1"/>
    <col min="12546" max="12553" width="14.6640625" style="1" customWidth="1"/>
    <col min="12554" max="12800" width="8.83203125" style="1" customWidth="1"/>
    <col min="12801" max="12801" width="10.6640625" style="1" customWidth="1"/>
    <col min="12802" max="12809" width="14.6640625" style="1" customWidth="1"/>
    <col min="12810" max="13056" width="8.83203125" style="1" customWidth="1"/>
    <col min="13057" max="13057" width="10.6640625" style="1" customWidth="1"/>
    <col min="13058" max="13065" width="14.6640625" style="1" customWidth="1"/>
    <col min="13066" max="13312" width="8.83203125" style="1" customWidth="1"/>
    <col min="13313" max="13313" width="10.6640625" style="1" customWidth="1"/>
    <col min="13314" max="13321" width="14.6640625" style="1" customWidth="1"/>
    <col min="13322" max="13568" width="8.83203125" style="1" customWidth="1"/>
    <col min="13569" max="13569" width="10.6640625" style="1" customWidth="1"/>
    <col min="13570" max="13577" width="14.6640625" style="1" customWidth="1"/>
    <col min="13578" max="13824" width="8.83203125" style="1" customWidth="1"/>
    <col min="13825" max="13825" width="10.6640625" style="1" customWidth="1"/>
    <col min="13826" max="13833" width="14.6640625" style="1" customWidth="1"/>
    <col min="13834" max="14080" width="8.83203125" style="1" customWidth="1"/>
    <col min="14081" max="14081" width="10.6640625" style="1" customWidth="1"/>
    <col min="14082" max="14089" width="14.6640625" style="1" customWidth="1"/>
    <col min="14090" max="14336" width="8.83203125" style="1" customWidth="1"/>
    <col min="14337" max="14337" width="10.6640625" style="1" customWidth="1"/>
    <col min="14338" max="14345" width="14.6640625" style="1" customWidth="1"/>
    <col min="14346" max="14592" width="8.83203125" style="1" customWidth="1"/>
    <col min="14593" max="14593" width="10.6640625" style="1" customWidth="1"/>
    <col min="14594" max="14601" width="14.6640625" style="1" customWidth="1"/>
    <col min="14602" max="14848" width="8.83203125" style="1" customWidth="1"/>
    <col min="14849" max="14849" width="10.6640625" style="1" customWidth="1"/>
    <col min="14850" max="14857" width="14.6640625" style="1" customWidth="1"/>
    <col min="14858" max="15104" width="8.83203125" style="1" customWidth="1"/>
    <col min="15105" max="15105" width="10.6640625" style="1" customWidth="1"/>
    <col min="15106" max="15113" width="14.6640625" style="1" customWidth="1"/>
    <col min="15114" max="15360" width="8.83203125" style="1" customWidth="1"/>
    <col min="15361" max="15361" width="10.6640625" style="1" customWidth="1"/>
    <col min="15362" max="15369" width="14.6640625" style="1" customWidth="1"/>
    <col min="15370" max="15616" width="8.83203125" style="1" customWidth="1"/>
    <col min="15617" max="15617" width="10.6640625" style="1" customWidth="1"/>
    <col min="15618" max="15625" width="14.6640625" style="1" customWidth="1"/>
    <col min="15626" max="15872" width="8.83203125" style="1" customWidth="1"/>
    <col min="15873" max="15873" width="10.6640625" style="1" customWidth="1"/>
    <col min="15874" max="15881" width="14.6640625" style="1" customWidth="1"/>
    <col min="15882" max="16128" width="8.83203125" style="1" customWidth="1"/>
    <col min="16129" max="16129" width="10.6640625" style="1" customWidth="1"/>
    <col min="16130" max="16137" width="14.6640625" style="1" customWidth="1"/>
    <col min="16138" max="16384" width="8.83203125" style="1" customWidth="1"/>
  </cols>
  <sheetData>
    <row r="1" spans="1:9" x14ac:dyDescent="0.15">
      <c r="A1" s="4" t="s">
        <v>1</v>
      </c>
    </row>
    <row r="2" spans="1:9" ht="51" x14ac:dyDescent="0.15">
      <c r="A2" s="14" t="s">
        <v>5</v>
      </c>
      <c r="B2" s="28" t="s">
        <v>12</v>
      </c>
      <c r="C2" s="28"/>
      <c r="D2" s="28"/>
      <c r="E2" s="28"/>
      <c r="F2" s="28"/>
      <c r="G2" s="28"/>
      <c r="H2" s="28"/>
      <c r="I2" s="28"/>
    </row>
    <row r="3" spans="1:9" ht="35.5" customHeight="1" x14ac:dyDescent="0.15">
      <c r="A3" s="14"/>
      <c r="B3" s="29" t="s">
        <v>25</v>
      </c>
      <c r="C3" s="29"/>
      <c r="D3" s="29"/>
      <c r="E3" s="30"/>
      <c r="F3" s="29" t="s">
        <v>26</v>
      </c>
      <c r="G3" s="29"/>
      <c r="H3" s="29"/>
      <c r="I3" s="29"/>
    </row>
    <row r="4" spans="1:9" ht="80" customHeight="1" x14ac:dyDescent="0.15">
      <c r="A4" s="2" t="s">
        <v>0</v>
      </c>
      <c r="B4" s="15" t="s">
        <v>19</v>
      </c>
      <c r="C4" s="15" t="s">
        <v>20</v>
      </c>
      <c r="D4" s="15" t="s">
        <v>24</v>
      </c>
      <c r="E4" s="16" t="s">
        <v>29</v>
      </c>
      <c r="F4" s="2" t="s">
        <v>19</v>
      </c>
      <c r="G4" s="2" t="s">
        <v>20</v>
      </c>
      <c r="H4" s="2" t="s">
        <v>24</v>
      </c>
      <c r="I4" s="2" t="s">
        <v>29</v>
      </c>
    </row>
    <row r="5" spans="1:9" x14ac:dyDescent="0.15">
      <c r="A5" s="3">
        <v>1835</v>
      </c>
      <c r="B5" s="31"/>
      <c r="C5" s="31"/>
      <c r="D5" s="31">
        <v>6</v>
      </c>
      <c r="E5" s="32"/>
      <c r="F5" s="33"/>
      <c r="G5" s="33"/>
      <c r="H5" s="33">
        <v>6</v>
      </c>
      <c r="I5" s="33"/>
    </row>
    <row r="6" spans="1:9" x14ac:dyDescent="0.15">
      <c r="A6" s="3">
        <v>1836</v>
      </c>
      <c r="B6" s="31"/>
      <c r="C6" s="31"/>
      <c r="D6" s="31">
        <v>0</v>
      </c>
      <c r="E6" s="32"/>
      <c r="F6" s="33"/>
      <c r="G6" s="33"/>
      <c r="H6" s="33">
        <v>5.88</v>
      </c>
      <c r="I6" s="33"/>
    </row>
    <row r="7" spans="1:9" x14ac:dyDescent="0.15">
      <c r="A7" s="3">
        <v>1837</v>
      </c>
      <c r="B7" s="31"/>
      <c r="C7" s="31"/>
      <c r="D7" s="31">
        <v>0</v>
      </c>
      <c r="E7" s="32"/>
      <c r="F7" s="33"/>
      <c r="G7" s="33"/>
      <c r="H7" s="33">
        <v>5.7624000000000004</v>
      </c>
      <c r="I7" s="33"/>
    </row>
    <row r="8" spans="1:9" x14ac:dyDescent="0.15">
      <c r="A8" s="3">
        <v>1838</v>
      </c>
      <c r="B8" s="31"/>
      <c r="C8" s="31"/>
      <c r="D8" s="31">
        <v>0</v>
      </c>
      <c r="E8" s="32"/>
      <c r="F8" s="33"/>
      <c r="G8" s="33"/>
      <c r="H8" s="33">
        <v>5.6471520000000002</v>
      </c>
      <c r="I8" s="33"/>
    </row>
    <row r="9" spans="1:9" x14ac:dyDescent="0.15">
      <c r="A9" s="3">
        <v>1839</v>
      </c>
      <c r="B9" s="31"/>
      <c r="C9" s="31"/>
      <c r="D9" s="31">
        <v>8</v>
      </c>
      <c r="E9" s="32"/>
      <c r="F9" s="33"/>
      <c r="G9" s="33"/>
      <c r="H9" s="33">
        <v>13.534208960000001</v>
      </c>
      <c r="I9" s="33"/>
    </row>
    <row r="10" spans="1:9" x14ac:dyDescent="0.15">
      <c r="A10" s="3">
        <v>1840</v>
      </c>
      <c r="B10" s="31"/>
      <c r="C10" s="31"/>
      <c r="D10" s="31">
        <v>0</v>
      </c>
      <c r="E10" s="32"/>
      <c r="F10" s="33"/>
      <c r="G10" s="33"/>
      <c r="H10" s="33">
        <v>13.263524780799999</v>
      </c>
      <c r="I10" s="33"/>
    </row>
    <row r="11" spans="1:9" x14ac:dyDescent="0.15">
      <c r="A11" s="3">
        <v>1841</v>
      </c>
      <c r="B11" s="31"/>
      <c r="C11" s="31"/>
      <c r="D11" s="31">
        <v>0</v>
      </c>
      <c r="E11" s="32"/>
      <c r="F11" s="33"/>
      <c r="G11" s="33"/>
      <c r="H11" s="33">
        <v>12.998254285184</v>
      </c>
      <c r="I11" s="33"/>
    </row>
    <row r="12" spans="1:9" x14ac:dyDescent="0.15">
      <c r="A12" s="3">
        <v>1842</v>
      </c>
      <c r="B12" s="31"/>
      <c r="C12" s="31"/>
      <c r="D12" s="31">
        <v>0</v>
      </c>
      <c r="E12" s="32"/>
      <c r="F12" s="33"/>
      <c r="G12" s="33"/>
      <c r="H12" s="33">
        <v>12.73828919948032</v>
      </c>
      <c r="I12" s="33"/>
    </row>
    <row r="13" spans="1:9" x14ac:dyDescent="0.15">
      <c r="A13" s="3">
        <v>1843</v>
      </c>
      <c r="B13" s="31"/>
      <c r="C13" s="31"/>
      <c r="D13" s="31">
        <v>0</v>
      </c>
      <c r="E13" s="32"/>
      <c r="F13" s="33"/>
      <c r="G13" s="33"/>
      <c r="H13" s="33">
        <v>12.483523415490714</v>
      </c>
      <c r="I13" s="33"/>
    </row>
    <row r="14" spans="1:9" x14ac:dyDescent="0.15">
      <c r="A14" s="3">
        <v>1844</v>
      </c>
      <c r="B14" s="31"/>
      <c r="C14" s="31"/>
      <c r="D14" s="31">
        <v>0</v>
      </c>
      <c r="E14" s="32"/>
      <c r="F14" s="33"/>
      <c r="G14" s="33"/>
      <c r="H14" s="33">
        <v>12.2338529471809</v>
      </c>
      <c r="I14" s="33"/>
    </row>
    <row r="15" spans="1:9" x14ac:dyDescent="0.15">
      <c r="A15" s="3">
        <v>1845</v>
      </c>
      <c r="B15" s="31"/>
      <c r="C15" s="31"/>
      <c r="D15" s="31">
        <v>0</v>
      </c>
      <c r="E15" s="32"/>
      <c r="F15" s="33"/>
      <c r="G15" s="33"/>
      <c r="H15" s="33">
        <v>11.989175888237281</v>
      </c>
      <c r="I15" s="33"/>
    </row>
    <row r="16" spans="1:9" x14ac:dyDescent="0.15">
      <c r="A16" s="3">
        <v>1846</v>
      </c>
      <c r="B16" s="31"/>
      <c r="C16" s="31"/>
      <c r="D16" s="31">
        <v>13.333333</v>
      </c>
      <c r="E16" s="32"/>
      <c r="F16" s="33"/>
      <c r="G16" s="33"/>
      <c r="H16" s="33">
        <v>25.082725370472534</v>
      </c>
      <c r="I16" s="33"/>
    </row>
    <row r="17" spans="1:9" x14ac:dyDescent="0.15">
      <c r="A17" s="3">
        <v>1847</v>
      </c>
      <c r="B17" s="31"/>
      <c r="C17" s="31"/>
      <c r="D17" s="31">
        <v>0</v>
      </c>
      <c r="E17" s="32"/>
      <c r="F17" s="33"/>
      <c r="G17" s="33"/>
      <c r="H17" s="33">
        <v>24.581070863063086</v>
      </c>
      <c r="I17" s="33"/>
    </row>
    <row r="18" spans="1:9" x14ac:dyDescent="0.15">
      <c r="A18" s="3">
        <v>1848</v>
      </c>
      <c r="B18" s="31"/>
      <c r="C18" s="31"/>
      <c r="D18" s="31">
        <v>0</v>
      </c>
      <c r="E18" s="32"/>
      <c r="F18" s="33"/>
      <c r="G18" s="33"/>
      <c r="H18" s="33">
        <v>24.089449445801826</v>
      </c>
      <c r="I18" s="33"/>
    </row>
    <row r="19" spans="1:9" x14ac:dyDescent="0.15">
      <c r="A19" s="3">
        <v>1849</v>
      </c>
      <c r="B19" s="31"/>
      <c r="C19" s="31"/>
      <c r="D19" s="31">
        <v>6.6666660000000002</v>
      </c>
      <c r="E19" s="32"/>
      <c r="F19" s="33"/>
      <c r="G19" s="33"/>
      <c r="H19" s="33">
        <v>30.274326456885788</v>
      </c>
      <c r="I19" s="33"/>
    </row>
    <row r="20" spans="1:9" x14ac:dyDescent="0.15">
      <c r="A20" s="3">
        <v>1850</v>
      </c>
      <c r="B20" s="31"/>
      <c r="C20" s="31"/>
      <c r="D20" s="31">
        <v>1.8718999999999999</v>
      </c>
      <c r="E20" s="32"/>
      <c r="F20" s="33"/>
      <c r="G20" s="33"/>
      <c r="H20" s="33">
        <v>31.540739927748074</v>
      </c>
      <c r="I20" s="33"/>
    </row>
    <row r="21" spans="1:9" x14ac:dyDescent="0.15">
      <c r="A21" s="3">
        <v>1851</v>
      </c>
      <c r="B21" s="31"/>
      <c r="C21" s="31"/>
      <c r="D21" s="31">
        <v>17.733332999999998</v>
      </c>
      <c r="E21" s="32"/>
      <c r="F21" s="33"/>
      <c r="G21" s="33"/>
      <c r="H21" s="33">
        <v>48.643258129193114</v>
      </c>
      <c r="I21" s="33"/>
    </row>
    <row r="22" spans="1:9" x14ac:dyDescent="0.15">
      <c r="A22" s="3">
        <v>1852</v>
      </c>
      <c r="B22" s="31"/>
      <c r="C22" s="31"/>
      <c r="D22" s="31">
        <v>14.838666</v>
      </c>
      <c r="E22" s="32"/>
      <c r="F22" s="33"/>
      <c r="G22" s="33"/>
      <c r="H22" s="33">
        <v>62.509058966609246</v>
      </c>
      <c r="I22" s="33"/>
    </row>
    <row r="23" spans="1:9" x14ac:dyDescent="0.15">
      <c r="A23" s="3">
        <v>1853</v>
      </c>
      <c r="B23" s="31"/>
      <c r="C23" s="31"/>
      <c r="D23" s="31">
        <v>0</v>
      </c>
      <c r="E23" s="32"/>
      <c r="F23" s="33"/>
      <c r="G23" s="33"/>
      <c r="H23" s="33">
        <v>61.258877787277058</v>
      </c>
      <c r="I23" s="33"/>
    </row>
    <row r="24" spans="1:9" x14ac:dyDescent="0.15">
      <c r="A24" s="3">
        <v>1854</v>
      </c>
      <c r="B24" s="31">
        <v>0.28189999999999998</v>
      </c>
      <c r="C24" s="31"/>
      <c r="D24" s="31">
        <v>7</v>
      </c>
      <c r="E24" s="32"/>
      <c r="F24" s="33">
        <v>0.28189999999999998</v>
      </c>
      <c r="G24" s="33"/>
      <c r="H24" s="33">
        <v>67.033700231531512</v>
      </c>
      <c r="I24" s="33"/>
    </row>
    <row r="25" spans="1:9" x14ac:dyDescent="0.15">
      <c r="A25" s="3">
        <v>1855</v>
      </c>
      <c r="B25" s="31"/>
      <c r="C25" s="31"/>
      <c r="D25" s="31">
        <v>0</v>
      </c>
      <c r="E25" s="32"/>
      <c r="F25" s="33">
        <v>0.27626200000000001</v>
      </c>
      <c r="G25" s="33"/>
      <c r="H25" s="33">
        <v>65.693026226900884</v>
      </c>
      <c r="I25" s="33"/>
    </row>
    <row r="26" spans="1:9" x14ac:dyDescent="0.15">
      <c r="A26" s="3">
        <v>1856</v>
      </c>
      <c r="B26" s="31"/>
      <c r="C26" s="31"/>
      <c r="D26" s="31">
        <v>0</v>
      </c>
      <c r="E26" s="32"/>
      <c r="F26" s="33">
        <v>0.27073700000000001</v>
      </c>
      <c r="G26" s="33"/>
      <c r="H26" s="33">
        <v>64.379165702362869</v>
      </c>
      <c r="I26" s="33"/>
    </row>
    <row r="27" spans="1:9" x14ac:dyDescent="0.15">
      <c r="A27" s="3">
        <v>1857</v>
      </c>
      <c r="B27" s="31"/>
      <c r="C27" s="31"/>
      <c r="D27" s="31">
        <v>0</v>
      </c>
      <c r="E27" s="32"/>
      <c r="F27" s="33">
        <v>0.265322</v>
      </c>
      <c r="G27" s="33"/>
      <c r="H27" s="33">
        <v>63.091582388315601</v>
      </c>
      <c r="I27" s="33"/>
    </row>
    <row r="28" spans="1:9" x14ac:dyDescent="0.15">
      <c r="A28" s="3">
        <v>1858</v>
      </c>
      <c r="B28" s="31">
        <v>21.8413</v>
      </c>
      <c r="C28" s="31"/>
      <c r="D28" s="31">
        <v>16.620266669999999</v>
      </c>
      <c r="E28" s="32"/>
      <c r="F28" s="33">
        <v>22.101299999999998</v>
      </c>
      <c r="G28" s="33"/>
      <c r="H28" s="33">
        <v>78.450017410549279</v>
      </c>
      <c r="I28" s="33"/>
    </row>
    <row r="29" spans="1:9" x14ac:dyDescent="0.15">
      <c r="A29" s="3">
        <v>1859</v>
      </c>
      <c r="B29" s="31"/>
      <c r="C29" s="31"/>
      <c r="D29" s="31">
        <v>0</v>
      </c>
      <c r="E29" s="32"/>
      <c r="F29" s="33">
        <v>21.659300000000002</v>
      </c>
      <c r="G29" s="33"/>
      <c r="H29" s="33">
        <v>76.881017062338287</v>
      </c>
      <c r="I29" s="33"/>
    </row>
    <row r="30" spans="1:9" x14ac:dyDescent="0.15">
      <c r="A30" s="3">
        <v>1860</v>
      </c>
      <c r="B30" s="31">
        <v>26.666699999999999</v>
      </c>
      <c r="C30" s="31"/>
      <c r="D30" s="31">
        <v>5.3333333300000003</v>
      </c>
      <c r="E30" s="32"/>
      <c r="F30" s="33">
        <v>47.892800000000001</v>
      </c>
      <c r="G30" s="33"/>
      <c r="H30" s="33">
        <v>80.676730051091525</v>
      </c>
      <c r="I30" s="33"/>
    </row>
    <row r="31" spans="1:9" x14ac:dyDescent="0.15">
      <c r="A31" s="3">
        <v>1861</v>
      </c>
      <c r="B31" s="31"/>
      <c r="C31" s="31">
        <v>2</v>
      </c>
      <c r="D31" s="31">
        <v>31.988266670000002</v>
      </c>
      <c r="E31" s="32"/>
      <c r="F31" s="33">
        <v>46.934899999999999</v>
      </c>
      <c r="G31" s="33">
        <v>2</v>
      </c>
      <c r="H31" s="33">
        <v>111.0514621200697</v>
      </c>
      <c r="I31" s="33"/>
    </row>
    <row r="32" spans="1:9" x14ac:dyDescent="0.15">
      <c r="A32" s="3">
        <v>1862</v>
      </c>
      <c r="B32" s="31"/>
      <c r="C32" s="31"/>
      <c r="D32" s="31">
        <v>31.805599999999998</v>
      </c>
      <c r="E32" s="32"/>
      <c r="F32" s="33">
        <v>45.996200000000002</v>
      </c>
      <c r="G32" s="33">
        <v>1.96</v>
      </c>
      <c r="H32" s="33">
        <v>140.63603287766833</v>
      </c>
      <c r="I32" s="33"/>
    </row>
    <row r="33" spans="1:9" x14ac:dyDescent="0.15">
      <c r="A33" s="3">
        <v>1863</v>
      </c>
      <c r="B33" s="31"/>
      <c r="C33" s="31"/>
      <c r="D33" s="31">
        <v>0</v>
      </c>
      <c r="E33" s="32"/>
      <c r="F33" s="33">
        <v>45.076300000000003</v>
      </c>
      <c r="G33" s="33">
        <v>1.9208000000000001</v>
      </c>
      <c r="H33" s="33">
        <v>137.82331222011496</v>
      </c>
      <c r="I33" s="33"/>
    </row>
    <row r="34" spans="1:9" x14ac:dyDescent="0.15">
      <c r="A34" s="3">
        <v>1864</v>
      </c>
      <c r="B34" s="31">
        <v>9.8914600000000004</v>
      </c>
      <c r="C34" s="31"/>
      <c r="D34" s="31">
        <v>1.1092</v>
      </c>
      <c r="E34" s="32"/>
      <c r="F34" s="33">
        <v>54.066299999999998</v>
      </c>
      <c r="G34" s="33">
        <v>1.8823799999999999</v>
      </c>
      <c r="H34" s="33">
        <v>136.17604597571267</v>
      </c>
      <c r="I34" s="33"/>
    </row>
    <row r="35" spans="1:9" x14ac:dyDescent="0.15">
      <c r="A35" s="3">
        <v>1865</v>
      </c>
      <c r="B35" s="31"/>
      <c r="C35" s="31">
        <v>1.2</v>
      </c>
      <c r="D35" s="31">
        <v>0</v>
      </c>
      <c r="E35" s="32"/>
      <c r="F35" s="33">
        <v>52.984900000000003</v>
      </c>
      <c r="G35" s="33">
        <v>3.04474</v>
      </c>
      <c r="H35" s="33">
        <v>133.4525250561984</v>
      </c>
      <c r="I35" s="33"/>
    </row>
    <row r="36" spans="1:9" x14ac:dyDescent="0.15">
      <c r="A36" s="3">
        <v>1866</v>
      </c>
      <c r="B36" s="31">
        <v>26.4861</v>
      </c>
      <c r="C36" s="31"/>
      <c r="D36" s="31">
        <v>0</v>
      </c>
      <c r="E36" s="32"/>
      <c r="F36" s="33">
        <v>78.4114</v>
      </c>
      <c r="G36" s="33">
        <v>2.9838399999999998</v>
      </c>
      <c r="H36" s="33">
        <v>130.78347455507443</v>
      </c>
      <c r="I36" s="33"/>
    </row>
    <row r="37" spans="1:9" x14ac:dyDescent="0.15">
      <c r="A37" s="3">
        <v>1867</v>
      </c>
      <c r="B37" s="31"/>
      <c r="C37" s="31"/>
      <c r="D37" s="31">
        <v>0</v>
      </c>
      <c r="E37" s="32"/>
      <c r="F37" s="33">
        <v>76.843100000000007</v>
      </c>
      <c r="G37" s="33">
        <v>2.9241600000000001</v>
      </c>
      <c r="H37" s="33">
        <v>128.16780506397296</v>
      </c>
      <c r="I37" s="33"/>
    </row>
    <row r="38" spans="1:9" x14ac:dyDescent="0.15">
      <c r="A38" s="3">
        <v>1868</v>
      </c>
      <c r="B38" s="31">
        <v>20.7</v>
      </c>
      <c r="C38" s="31">
        <v>0.25</v>
      </c>
      <c r="D38" s="31">
        <v>0</v>
      </c>
      <c r="E38" s="32"/>
      <c r="F38" s="33">
        <v>96.006299999999996</v>
      </c>
      <c r="G38" s="33">
        <v>3.1156799999999998</v>
      </c>
      <c r="H38" s="33">
        <v>125.60444896269348</v>
      </c>
      <c r="I38" s="33"/>
    </row>
    <row r="39" spans="1:9" x14ac:dyDescent="0.15">
      <c r="A39" s="3">
        <v>1869</v>
      </c>
      <c r="B39" s="31"/>
      <c r="C39" s="31">
        <v>3.1135000000000002</v>
      </c>
      <c r="D39" s="31">
        <v>0</v>
      </c>
      <c r="E39" s="32"/>
      <c r="F39" s="33">
        <v>94.086200000000005</v>
      </c>
      <c r="G39" s="33">
        <v>6.1668700000000003</v>
      </c>
      <c r="H39" s="33">
        <v>123.09235998343961</v>
      </c>
      <c r="I39" s="33"/>
    </row>
    <row r="40" spans="1:9" x14ac:dyDescent="0.15">
      <c r="A40" s="3">
        <v>1870</v>
      </c>
      <c r="B40" s="34"/>
      <c r="C40" s="31"/>
      <c r="D40" s="31">
        <v>0</v>
      </c>
      <c r="E40" s="32"/>
      <c r="F40" s="33">
        <v>92.204400000000007</v>
      </c>
      <c r="G40" s="33">
        <v>6.0435299999999996</v>
      </c>
      <c r="H40" s="33">
        <v>120.63051278377081</v>
      </c>
      <c r="I40" s="33"/>
    </row>
    <row r="41" spans="1:9" x14ac:dyDescent="0.15">
      <c r="A41" s="3">
        <v>1871</v>
      </c>
      <c r="B41" s="34"/>
      <c r="C41" s="31"/>
      <c r="D41" s="31">
        <v>0</v>
      </c>
      <c r="E41" s="32"/>
      <c r="F41" s="33">
        <v>90.360299999999995</v>
      </c>
      <c r="G41" s="33">
        <v>5.9226599999999996</v>
      </c>
      <c r="H41" s="33">
        <v>118.21790252809539</v>
      </c>
      <c r="I41" s="33"/>
    </row>
    <row r="42" spans="1:9" x14ac:dyDescent="0.15">
      <c r="A42" s="3">
        <v>1872</v>
      </c>
      <c r="B42" s="31"/>
      <c r="C42" s="31"/>
      <c r="D42" s="31">
        <v>0</v>
      </c>
      <c r="E42" s="32"/>
      <c r="F42" s="33">
        <v>88.553100000000001</v>
      </c>
      <c r="G42" s="33">
        <v>5.8042100000000003</v>
      </c>
      <c r="H42" s="33">
        <v>115.85354447753349</v>
      </c>
      <c r="I42" s="33"/>
    </row>
    <row r="43" spans="1:9" x14ac:dyDescent="0.15">
      <c r="A43" s="3">
        <v>1873</v>
      </c>
      <c r="B43" s="31"/>
      <c r="C43" s="31">
        <v>0.25</v>
      </c>
      <c r="D43" s="31">
        <v>0</v>
      </c>
      <c r="E43" s="32">
        <v>13</v>
      </c>
      <c r="F43" s="33">
        <v>86.7821</v>
      </c>
      <c r="G43" s="33">
        <v>5.9381199999999996</v>
      </c>
      <c r="H43" s="33">
        <v>113.53647358798281</v>
      </c>
      <c r="I43" s="33">
        <v>13</v>
      </c>
    </row>
    <row r="44" spans="1:9" x14ac:dyDescent="0.15">
      <c r="A44" s="3">
        <v>1874</v>
      </c>
      <c r="B44" s="31"/>
      <c r="C44" s="31"/>
      <c r="D44" s="31">
        <v>38.417200000000001</v>
      </c>
      <c r="E44" s="32">
        <v>1</v>
      </c>
      <c r="F44" s="33">
        <v>85.046400000000006</v>
      </c>
      <c r="G44" s="33">
        <v>5.8193599999999996</v>
      </c>
      <c r="H44" s="33">
        <v>149.68294411622315</v>
      </c>
      <c r="I44" s="33">
        <v>13.61</v>
      </c>
    </row>
    <row r="45" spans="1:9" x14ac:dyDescent="0.15">
      <c r="A45" s="3">
        <v>1875</v>
      </c>
      <c r="B45" s="31">
        <v>36.881599999999999</v>
      </c>
      <c r="C45" s="31">
        <v>0.6</v>
      </c>
      <c r="D45" s="31">
        <v>0</v>
      </c>
      <c r="E45" s="32">
        <v>0</v>
      </c>
      <c r="F45" s="33">
        <v>120.227</v>
      </c>
      <c r="G45" s="33">
        <v>6.3029700000000002</v>
      </c>
      <c r="H45" s="33">
        <v>146.68928523389869</v>
      </c>
      <c r="I45" s="33">
        <v>13.201700000000001</v>
      </c>
    </row>
    <row r="46" spans="1:9" x14ac:dyDescent="0.15">
      <c r="A46" s="3">
        <v>1876</v>
      </c>
      <c r="B46" s="31">
        <v>36.619999999999997</v>
      </c>
      <c r="C46" s="31">
        <v>0.9</v>
      </c>
      <c r="D46" s="31">
        <v>0</v>
      </c>
      <c r="E46" s="32">
        <v>1</v>
      </c>
      <c r="F46" s="33">
        <v>154.44300000000001</v>
      </c>
      <c r="G46" s="33">
        <v>7.0769099999999998</v>
      </c>
      <c r="H46" s="33">
        <v>143.75549952922074</v>
      </c>
      <c r="I46" s="33">
        <v>13.805649000000001</v>
      </c>
    </row>
    <row r="47" spans="1:9" x14ac:dyDescent="0.15">
      <c r="A47" s="3">
        <v>1877</v>
      </c>
      <c r="B47" s="31"/>
      <c r="C47" s="31">
        <v>0.25</v>
      </c>
      <c r="D47" s="31">
        <v>0</v>
      </c>
      <c r="E47" s="32">
        <v>0</v>
      </c>
      <c r="F47" s="33">
        <v>151.35400000000001</v>
      </c>
      <c r="G47" s="33">
        <v>7.1853699999999998</v>
      </c>
      <c r="H47" s="33">
        <v>140.88038953863634</v>
      </c>
      <c r="I47" s="33">
        <v>13.39147953</v>
      </c>
    </row>
    <row r="48" spans="1:9" x14ac:dyDescent="0.15">
      <c r="A48" s="3">
        <v>1878</v>
      </c>
      <c r="B48" s="31">
        <v>27.24</v>
      </c>
      <c r="C48" s="31">
        <v>2.35</v>
      </c>
      <c r="D48" s="31">
        <v>113.5622</v>
      </c>
      <c r="E48" s="32">
        <v>0</v>
      </c>
      <c r="F48" s="33">
        <v>175.56700000000001</v>
      </c>
      <c r="G48" s="33">
        <v>9.3916699999999995</v>
      </c>
      <c r="H48" s="33">
        <v>251.62498174786359</v>
      </c>
      <c r="I48" s="33">
        <v>12.989735144099999</v>
      </c>
    </row>
    <row r="49" spans="1:9" x14ac:dyDescent="0.15">
      <c r="A49" s="3">
        <v>1879</v>
      </c>
      <c r="B49" s="31"/>
      <c r="C49" s="31">
        <v>2</v>
      </c>
      <c r="D49" s="31">
        <v>6.4691999999999998</v>
      </c>
      <c r="E49" s="32">
        <v>0</v>
      </c>
      <c r="F49" s="33">
        <v>172.05500000000001</v>
      </c>
      <c r="G49" s="33">
        <v>11.203799999999999</v>
      </c>
      <c r="H49" s="33">
        <v>253.06168211290631</v>
      </c>
      <c r="I49" s="33">
        <v>12.600043089776998</v>
      </c>
    </row>
    <row r="50" spans="1:9" x14ac:dyDescent="0.15">
      <c r="A50" s="3">
        <v>1880</v>
      </c>
      <c r="B50" s="31">
        <v>118.746</v>
      </c>
      <c r="C50" s="31">
        <v>17.600000000000001</v>
      </c>
      <c r="D50" s="31">
        <v>8.1725111100000003</v>
      </c>
      <c r="E50" s="32">
        <v>4.4999999999999998E-2</v>
      </c>
      <c r="F50" s="33">
        <v>287.36099999999999</v>
      </c>
      <c r="G50" s="33">
        <v>28.579799999999999</v>
      </c>
      <c r="H50" s="33">
        <v>256.17295958064818</v>
      </c>
      <c r="I50" s="33">
        <v>12.267041797083689</v>
      </c>
    </row>
    <row r="51" spans="1:9" x14ac:dyDescent="0.15">
      <c r="A51" s="3">
        <v>1881</v>
      </c>
      <c r="B51" s="31"/>
      <c r="C51" s="31"/>
      <c r="D51" s="31">
        <v>5</v>
      </c>
      <c r="E51" s="32">
        <v>0</v>
      </c>
      <c r="F51" s="33">
        <v>281.613</v>
      </c>
      <c r="G51" s="33">
        <v>28.008199999999999</v>
      </c>
      <c r="H51" s="33">
        <v>256.04950038903525</v>
      </c>
      <c r="I51" s="33">
        <v>11.899030543171179</v>
      </c>
    </row>
    <row r="52" spans="1:9" x14ac:dyDescent="0.15">
      <c r="A52" s="3">
        <v>1882</v>
      </c>
      <c r="B52" s="31"/>
      <c r="C52" s="31"/>
      <c r="D52" s="31">
        <v>5</v>
      </c>
      <c r="E52" s="32">
        <v>4</v>
      </c>
      <c r="F52" s="33">
        <v>275.98099999999999</v>
      </c>
      <c r="G52" s="33">
        <v>27.448</v>
      </c>
      <c r="H52" s="33">
        <v>255.92851038125451</v>
      </c>
      <c r="I52" s="33">
        <v>15.542059626876043</v>
      </c>
    </row>
    <row r="53" spans="1:9" x14ac:dyDescent="0.15">
      <c r="A53" s="3">
        <v>1883</v>
      </c>
      <c r="B53" s="31"/>
      <c r="C53" s="31">
        <v>1.5</v>
      </c>
      <c r="D53" s="31">
        <v>8.9123999999999999</v>
      </c>
      <c r="E53" s="32">
        <v>0</v>
      </c>
      <c r="F53" s="33">
        <v>270.46100000000001</v>
      </c>
      <c r="G53" s="33">
        <v>28.399000000000001</v>
      </c>
      <c r="H53" s="33">
        <v>259.72234017362945</v>
      </c>
      <c r="I53" s="33">
        <v>15.045797838069761</v>
      </c>
    </row>
    <row r="54" spans="1:9" x14ac:dyDescent="0.15">
      <c r="A54" s="3">
        <v>1884</v>
      </c>
      <c r="B54" s="31"/>
      <c r="C54" s="31">
        <v>0.26</v>
      </c>
      <c r="D54" s="31">
        <v>0</v>
      </c>
      <c r="E54" s="32">
        <v>0</v>
      </c>
      <c r="F54" s="33">
        <v>265.05200000000002</v>
      </c>
      <c r="G54" s="33">
        <v>28.091100000000001</v>
      </c>
      <c r="H54" s="33">
        <v>254.52789337015685</v>
      </c>
      <c r="I54" s="33">
        <v>14.566223902927669</v>
      </c>
    </row>
    <row r="55" spans="1:9" x14ac:dyDescent="0.15">
      <c r="A55" s="3">
        <v>1885</v>
      </c>
      <c r="B55" s="31"/>
      <c r="C55" s="31">
        <v>8</v>
      </c>
      <c r="D55" s="31">
        <v>8.1969999999999992</v>
      </c>
      <c r="E55" s="32">
        <v>0</v>
      </c>
      <c r="F55" s="33">
        <v>259.75099999999998</v>
      </c>
      <c r="G55" s="33">
        <v>35.529200000000003</v>
      </c>
      <c r="H55" s="33">
        <v>257.63433550275369</v>
      </c>
      <c r="I55" s="33">
        <v>14.102729185839838</v>
      </c>
    </row>
    <row r="56" spans="1:9" x14ac:dyDescent="0.15">
      <c r="A56" s="3">
        <v>1886</v>
      </c>
      <c r="B56" s="31">
        <v>64.546199999999999</v>
      </c>
      <c r="C56" s="31">
        <v>3.4</v>
      </c>
      <c r="D56" s="31">
        <v>52.330399999999997</v>
      </c>
      <c r="E56" s="32">
        <v>0</v>
      </c>
      <c r="F56" s="33">
        <v>319.10199999999998</v>
      </c>
      <c r="G56" s="33">
        <v>38.218699999999998</v>
      </c>
      <c r="H56" s="33">
        <v>304.81204879269865</v>
      </c>
      <c r="I56" s="33">
        <v>13.654729790264645</v>
      </c>
    </row>
    <row r="57" spans="1:9" x14ac:dyDescent="0.15">
      <c r="A57" s="3">
        <v>1887</v>
      </c>
      <c r="B57" s="31">
        <v>10</v>
      </c>
      <c r="C57" s="31">
        <v>4</v>
      </c>
      <c r="D57" s="31">
        <v>6</v>
      </c>
      <c r="E57" s="32">
        <v>0</v>
      </c>
      <c r="F57" s="33">
        <v>322.72000000000003</v>
      </c>
      <c r="G57" s="33">
        <v>41.454300000000003</v>
      </c>
      <c r="H57" s="33">
        <v>304.71580781684463</v>
      </c>
      <c r="I57" s="33">
        <v>13.221665427756703</v>
      </c>
    </row>
    <row r="58" spans="1:9" x14ac:dyDescent="0.15">
      <c r="A58" s="3">
        <v>1888</v>
      </c>
      <c r="B58" s="31">
        <v>26.666699999999999</v>
      </c>
      <c r="C58" s="31"/>
      <c r="D58" s="31">
        <v>8.5</v>
      </c>
      <c r="E58" s="32">
        <v>0</v>
      </c>
      <c r="F58" s="33">
        <v>342.93299999999999</v>
      </c>
      <c r="G58" s="33">
        <v>40.6252</v>
      </c>
      <c r="H58" s="33">
        <v>307.12149166050773</v>
      </c>
      <c r="I58" s="33">
        <v>12.802998344252002</v>
      </c>
    </row>
    <row r="59" spans="1:9" x14ac:dyDescent="0.15">
      <c r="A59" s="3">
        <v>1889</v>
      </c>
      <c r="B59" s="31"/>
      <c r="C59" s="31">
        <v>1.5</v>
      </c>
      <c r="D59" s="31">
        <v>0</v>
      </c>
      <c r="E59" s="32">
        <v>0</v>
      </c>
      <c r="F59" s="33">
        <v>336.07400000000001</v>
      </c>
      <c r="G59" s="33">
        <v>41.3127</v>
      </c>
      <c r="H59" s="33">
        <v>300.97906182729758</v>
      </c>
      <c r="I59" s="33">
        <v>12.39821230049276</v>
      </c>
    </row>
    <row r="60" spans="1:9" x14ac:dyDescent="0.15">
      <c r="A60" s="3">
        <v>1890</v>
      </c>
      <c r="B60" s="31">
        <v>35.555599999999998</v>
      </c>
      <c r="C60" s="31">
        <v>5.4</v>
      </c>
      <c r="D60" s="31">
        <v>0</v>
      </c>
      <c r="E60" s="32">
        <v>0.6</v>
      </c>
      <c r="F60" s="33">
        <v>361.54700000000003</v>
      </c>
      <c r="G60" s="33">
        <v>45.886400000000002</v>
      </c>
      <c r="H60" s="33">
        <v>294.95948059075158</v>
      </c>
      <c r="I60" s="33">
        <v>12.606811603652197</v>
      </c>
    </row>
    <row r="61" spans="1:9" x14ac:dyDescent="0.15">
      <c r="A61" s="3">
        <v>1891</v>
      </c>
      <c r="B61" s="31"/>
      <c r="C61" s="31"/>
      <c r="D61" s="31">
        <v>4.9969999999999999</v>
      </c>
      <c r="E61" s="32">
        <v>0.6</v>
      </c>
      <c r="F61" s="33">
        <v>354.31599999999997</v>
      </c>
      <c r="G61" s="33">
        <v>44.968699999999998</v>
      </c>
      <c r="H61" s="33">
        <v>294.05729097893658</v>
      </c>
      <c r="I61" s="33">
        <v>12.7923201873864</v>
      </c>
    </row>
    <row r="62" spans="1:9" x14ac:dyDescent="0.15">
      <c r="A62" s="3">
        <v>1892</v>
      </c>
      <c r="B62" s="31"/>
      <c r="C62" s="31"/>
      <c r="D62" s="31">
        <v>0</v>
      </c>
      <c r="E62" s="32">
        <v>0</v>
      </c>
      <c r="F62" s="33">
        <v>347.23</v>
      </c>
      <c r="G62" s="33">
        <v>44.069299999999998</v>
      </c>
      <c r="H62" s="33">
        <v>288.17614515935787</v>
      </c>
      <c r="I62" s="33">
        <v>12.35644073769795</v>
      </c>
    </row>
    <row r="63" spans="1:9" x14ac:dyDescent="0.15">
      <c r="A63" s="3">
        <v>1893</v>
      </c>
      <c r="B63" s="31"/>
      <c r="C63" s="31"/>
      <c r="D63" s="31">
        <v>0</v>
      </c>
      <c r="E63" s="32">
        <v>0</v>
      </c>
      <c r="F63" s="33">
        <v>340.28500000000003</v>
      </c>
      <c r="G63" s="33">
        <v>43.187899999999999</v>
      </c>
      <c r="H63" s="33">
        <v>282.41262225617066</v>
      </c>
      <c r="I63" s="33">
        <v>11.936764262144163</v>
      </c>
    </row>
    <row r="64" spans="1:9" x14ac:dyDescent="0.15">
      <c r="A64" s="3">
        <v>1894</v>
      </c>
      <c r="B64" s="31">
        <v>18</v>
      </c>
      <c r="C64" s="31">
        <v>0.67300000000000004</v>
      </c>
      <c r="D64" s="31">
        <v>8</v>
      </c>
      <c r="E64" s="32">
        <v>0</v>
      </c>
      <c r="F64" s="33">
        <v>351.48</v>
      </c>
      <c r="G64" s="33">
        <v>42.997199999999999</v>
      </c>
      <c r="H64" s="33">
        <v>284.76436981104723</v>
      </c>
      <c r="I64" s="33">
        <v>11.53261707606236</v>
      </c>
    </row>
    <row r="65" spans="1:9" x14ac:dyDescent="0.15">
      <c r="A65" s="3">
        <v>1895</v>
      </c>
      <c r="B65" s="31"/>
      <c r="C65" s="31"/>
      <c r="D65" s="31">
        <v>0</v>
      </c>
      <c r="E65" s="32">
        <v>0</v>
      </c>
      <c r="F65" s="33">
        <v>344.45</v>
      </c>
      <c r="G65" s="33">
        <v>42.1372</v>
      </c>
      <c r="H65" s="33">
        <v>279.06908241482631</v>
      </c>
      <c r="I65" s="33">
        <v>11.143356961056062</v>
      </c>
    </row>
    <row r="66" spans="1:9" x14ac:dyDescent="0.15">
      <c r="A66" s="3">
        <v>1896</v>
      </c>
      <c r="B66" s="31"/>
      <c r="C66" s="31"/>
      <c r="D66" s="31">
        <v>0</v>
      </c>
      <c r="E66" s="32">
        <v>0</v>
      </c>
      <c r="F66" s="33">
        <v>337.56099999999998</v>
      </c>
      <c r="G66" s="33">
        <v>41.294499999999999</v>
      </c>
      <c r="H66" s="33">
        <v>273.48770076652983</v>
      </c>
      <c r="I66" s="33">
        <v>10.768371545663417</v>
      </c>
    </row>
    <row r="67" spans="1:9" x14ac:dyDescent="0.15">
      <c r="A67" s="3">
        <v>1897</v>
      </c>
      <c r="B67" s="31"/>
      <c r="C67" s="31"/>
      <c r="D67" s="31">
        <v>0</v>
      </c>
      <c r="E67" s="32">
        <v>1.6339999999999999</v>
      </c>
      <c r="F67" s="33">
        <v>330.81</v>
      </c>
      <c r="G67" s="33">
        <v>40.468600000000002</v>
      </c>
      <c r="H67" s="33">
        <v>268.01794675119919</v>
      </c>
      <c r="I67" s="33">
        <v>12.041076775126211</v>
      </c>
    </row>
    <row r="68" spans="1:9" x14ac:dyDescent="0.15">
      <c r="A68" s="3">
        <v>1898</v>
      </c>
      <c r="B68" s="31"/>
      <c r="C68" s="31"/>
      <c r="D68" s="31">
        <v>1.135</v>
      </c>
      <c r="E68" s="32">
        <v>14.688969999999999</v>
      </c>
      <c r="F68" s="33">
        <v>324.19400000000002</v>
      </c>
      <c r="G68" s="33">
        <v>39.659199999999998</v>
      </c>
      <c r="H68" s="33">
        <v>263.79258781617517</v>
      </c>
      <c r="I68" s="33">
        <v>26.332865465155162</v>
      </c>
    </row>
    <row r="69" spans="1:9" x14ac:dyDescent="0.15">
      <c r="A69" s="3">
        <v>1899</v>
      </c>
      <c r="B69" s="31">
        <v>36</v>
      </c>
      <c r="C69" s="31">
        <v>7.4995799999999999</v>
      </c>
      <c r="D69" s="31">
        <v>0</v>
      </c>
      <c r="E69" s="32">
        <v>0</v>
      </c>
      <c r="F69" s="33">
        <v>353.71</v>
      </c>
      <c r="G69" s="33">
        <v>46.365600000000001</v>
      </c>
      <c r="H69" s="33">
        <v>258.51673605985167</v>
      </c>
      <c r="I69" s="33">
        <v>25.509087434886276</v>
      </c>
    </row>
    <row r="70" spans="1:9" x14ac:dyDescent="0.15">
      <c r="A70" s="3">
        <v>1900</v>
      </c>
      <c r="B70" s="31">
        <v>36.32</v>
      </c>
      <c r="C70" s="31">
        <v>24.9998</v>
      </c>
      <c r="D70" s="31">
        <v>0</v>
      </c>
      <c r="E70" s="32">
        <v>0.02</v>
      </c>
      <c r="F70" s="33">
        <v>382.95600000000002</v>
      </c>
      <c r="G70" s="33">
        <v>70.438100000000006</v>
      </c>
      <c r="H70" s="33">
        <v>253.34640133865463</v>
      </c>
      <c r="I70" s="33">
        <v>24.73205026950431</v>
      </c>
    </row>
    <row r="71" spans="1:9" x14ac:dyDescent="0.15">
      <c r="A71" s="3">
        <v>1901</v>
      </c>
      <c r="B71" s="31"/>
      <c r="C71" s="31"/>
      <c r="D71" s="31">
        <v>0</v>
      </c>
      <c r="E71" s="32">
        <v>0.246</v>
      </c>
      <c r="F71" s="33">
        <v>375.29700000000003</v>
      </c>
      <c r="G71" s="33">
        <v>69.029399999999995</v>
      </c>
      <c r="H71" s="33">
        <v>248.27947331188153</v>
      </c>
      <c r="I71" s="33">
        <v>24.205630091623927</v>
      </c>
    </row>
    <row r="72" spans="1:9" x14ac:dyDescent="0.15">
      <c r="A72" s="3">
        <v>1902</v>
      </c>
      <c r="B72" s="31"/>
      <c r="C72" s="31">
        <v>3.01</v>
      </c>
      <c r="D72" s="31">
        <v>6.8528000000000002</v>
      </c>
      <c r="E72" s="32">
        <v>0.35099999999999998</v>
      </c>
      <c r="F72" s="33">
        <v>367.791</v>
      </c>
      <c r="G72" s="33">
        <v>70.658799999999999</v>
      </c>
      <c r="H72" s="33">
        <v>250.16668384564392</v>
      </c>
      <c r="I72" s="33">
        <v>23.794450039267669</v>
      </c>
    </row>
    <row r="73" spans="1:9" x14ac:dyDescent="0.15">
      <c r="A73" s="3">
        <v>1903</v>
      </c>
      <c r="B73" s="31"/>
      <c r="C73" s="31">
        <v>1.0999999999999999E-2</v>
      </c>
      <c r="D73" s="31">
        <v>0</v>
      </c>
      <c r="E73" s="32">
        <v>25.285</v>
      </c>
      <c r="F73" s="33">
        <v>360.435</v>
      </c>
      <c r="G73" s="33">
        <v>69.256600000000006</v>
      </c>
      <c r="H73" s="33">
        <v>245.16335016873103</v>
      </c>
      <c r="I73" s="33">
        <v>48.331556057458556</v>
      </c>
    </row>
    <row r="74" spans="1:9" x14ac:dyDescent="0.15">
      <c r="A74" s="3">
        <v>1904</v>
      </c>
      <c r="B74" s="31">
        <v>36</v>
      </c>
      <c r="C74" s="31">
        <v>1.2E-2</v>
      </c>
      <c r="D74" s="31">
        <v>67.205799999999996</v>
      </c>
      <c r="E74" s="32">
        <v>0.127</v>
      </c>
      <c r="F74" s="33">
        <v>389.226</v>
      </c>
      <c r="G74" s="33">
        <v>67.883499999999998</v>
      </c>
      <c r="H74" s="33">
        <v>307.46588316535639</v>
      </c>
      <c r="I74" s="33">
        <v>46.225542523941577</v>
      </c>
    </row>
    <row r="75" spans="1:9" x14ac:dyDescent="0.15">
      <c r="A75" s="3">
        <v>1905</v>
      </c>
      <c r="B75" s="31"/>
      <c r="C75" s="31">
        <v>25.999700000000001</v>
      </c>
      <c r="D75" s="31">
        <v>1.39</v>
      </c>
      <c r="E75" s="32">
        <v>10.973000000000001</v>
      </c>
      <c r="F75" s="33">
        <v>381.44200000000001</v>
      </c>
      <c r="G75" s="33">
        <v>92.525499999999994</v>
      </c>
      <c r="H75" s="33">
        <v>302.70656550204927</v>
      </c>
      <c r="I75" s="33">
        <v>55.071883407537698</v>
      </c>
    </row>
    <row r="76" spans="1:9" x14ac:dyDescent="0.15">
      <c r="A76" s="3">
        <v>1906</v>
      </c>
      <c r="B76" s="31">
        <v>43.2</v>
      </c>
      <c r="C76" s="31">
        <v>15.018000000000001</v>
      </c>
      <c r="D76" s="31">
        <v>12.2</v>
      </c>
      <c r="E76" s="32">
        <v>3.0868799999999998</v>
      </c>
      <c r="F76" s="33">
        <v>417.01299999999998</v>
      </c>
      <c r="G76" s="33">
        <v>105.693</v>
      </c>
      <c r="H76" s="33">
        <v>308.85243419200827</v>
      </c>
      <c r="I76" s="33">
        <v>55.376137635067074</v>
      </c>
    </row>
    <row r="77" spans="1:9" x14ac:dyDescent="0.15">
      <c r="A77" s="3">
        <v>1907</v>
      </c>
      <c r="B77" s="31">
        <v>46.8</v>
      </c>
      <c r="C77" s="31"/>
      <c r="D77" s="31">
        <v>0</v>
      </c>
      <c r="E77" s="32">
        <v>0.39500000000000002</v>
      </c>
      <c r="F77" s="33">
        <v>455.47199999999998</v>
      </c>
      <c r="G77" s="33">
        <v>103.57899999999999</v>
      </c>
      <c r="H77" s="33">
        <v>302.67538550816812</v>
      </c>
      <c r="I77" s="33">
        <v>53.048922391985236</v>
      </c>
    </row>
    <row r="78" spans="1:9" x14ac:dyDescent="0.15">
      <c r="A78" s="3">
        <v>1908</v>
      </c>
      <c r="B78" s="31">
        <v>54.48</v>
      </c>
      <c r="C78" s="31">
        <v>44.613</v>
      </c>
      <c r="D78" s="31">
        <v>10.7982</v>
      </c>
      <c r="E78" s="32">
        <v>7.8E-2</v>
      </c>
      <c r="F78" s="33">
        <v>503.12</v>
      </c>
      <c r="G78" s="33">
        <v>146.12100000000001</v>
      </c>
      <c r="H78" s="33">
        <v>309.84148088207007</v>
      </c>
      <c r="I78" s="33">
        <v>50.975476826521422</v>
      </c>
    </row>
    <row r="79" spans="1:9" x14ac:dyDescent="0.15">
      <c r="A79" s="3">
        <v>1909</v>
      </c>
      <c r="B79" s="31"/>
      <c r="C79" s="31">
        <v>38.415900000000001</v>
      </c>
      <c r="D79" s="31">
        <v>7.6932</v>
      </c>
      <c r="E79" s="32">
        <v>0.19400000000000001</v>
      </c>
      <c r="F79" s="33">
        <v>495.57400000000001</v>
      </c>
      <c r="G79" s="33">
        <v>181.614</v>
      </c>
      <c r="H79" s="33">
        <v>313.81658311148522</v>
      </c>
      <c r="I79" s="33">
        <v>49.128283348666677</v>
      </c>
    </row>
    <row r="80" spans="1:9" x14ac:dyDescent="0.15">
      <c r="A80" s="3">
        <v>1910</v>
      </c>
      <c r="B80" s="31"/>
      <c r="C80" s="31">
        <v>2.9115000000000002</v>
      </c>
      <c r="D80" s="31">
        <v>122.4</v>
      </c>
      <c r="E80" s="32">
        <v>13.02988</v>
      </c>
      <c r="F80" s="33">
        <v>488.14</v>
      </c>
      <c r="G80" s="33">
        <v>180.893</v>
      </c>
      <c r="H80" s="33">
        <v>432.45078411414744</v>
      </c>
      <c r="I80" s="33">
        <v>60.217175466749893</v>
      </c>
    </row>
    <row r="81" spans="1:9" x14ac:dyDescent="0.15">
      <c r="A81" s="3">
        <v>1911</v>
      </c>
      <c r="B81" s="31"/>
      <c r="C81" s="31"/>
      <c r="D81" s="31">
        <v>0</v>
      </c>
      <c r="E81" s="32">
        <v>0</v>
      </c>
      <c r="F81" s="33">
        <v>480.81799999999998</v>
      </c>
      <c r="G81" s="33">
        <v>177.27500000000001</v>
      </c>
      <c r="H81" s="33">
        <v>427.26137470477767</v>
      </c>
      <c r="I81" s="33">
        <v>58.146342846213727</v>
      </c>
    </row>
    <row r="82" spans="1:9" x14ac:dyDescent="0.15">
      <c r="A82" s="3">
        <v>1912</v>
      </c>
      <c r="B82" s="31"/>
      <c r="C82" s="31"/>
      <c r="D82" s="31">
        <v>0</v>
      </c>
      <c r="E82" s="32">
        <v>0</v>
      </c>
      <c r="F82" s="33">
        <v>473.60599999999999</v>
      </c>
      <c r="G82" s="33">
        <v>173.73</v>
      </c>
      <c r="H82" s="33">
        <v>422.13423820832031</v>
      </c>
      <c r="I82" s="33">
        <v>56.176987922725495</v>
      </c>
    </row>
    <row r="83" spans="1:9" x14ac:dyDescent="0.15">
      <c r="A83" s="3">
        <v>1913</v>
      </c>
      <c r="B83" s="31"/>
      <c r="C83" s="31"/>
      <c r="D83" s="31">
        <v>0</v>
      </c>
      <c r="E83" s="32">
        <v>0</v>
      </c>
      <c r="F83" s="33">
        <v>466.50200000000001</v>
      </c>
      <c r="G83" s="33">
        <v>170.255</v>
      </c>
      <c r="H83" s="33">
        <v>417.06862734982047</v>
      </c>
      <c r="I83" s="33">
        <v>54.303281793567827</v>
      </c>
    </row>
    <row r="84" spans="1:9" x14ac:dyDescent="0.15">
      <c r="A84" s="3">
        <v>1914</v>
      </c>
      <c r="B84" s="31"/>
      <c r="C84" s="31"/>
      <c r="D84" s="31">
        <v>0</v>
      </c>
      <c r="E84" s="32">
        <v>0</v>
      </c>
      <c r="F84" s="33">
        <v>459.50400000000002</v>
      </c>
      <c r="G84" s="33">
        <v>166.85</v>
      </c>
      <c r="H84" s="33">
        <v>412.06380382162268</v>
      </c>
      <c r="I84" s="33">
        <v>52.519750233172076</v>
      </c>
    </row>
    <row r="85" spans="1:9" x14ac:dyDescent="0.15">
      <c r="A85" s="3">
        <v>1915</v>
      </c>
      <c r="B85" s="31"/>
      <c r="C85" s="31"/>
      <c r="D85" s="31">
        <v>0</v>
      </c>
      <c r="E85" s="32"/>
      <c r="F85" s="33">
        <v>452.61143426022261</v>
      </c>
      <c r="G85" s="33">
        <v>163.5132468577284</v>
      </c>
      <c r="H85" s="33">
        <v>407.11903817576319</v>
      </c>
      <c r="I85" s="33">
        <v>50.821251548448444</v>
      </c>
    </row>
    <row r="86" spans="1:9" x14ac:dyDescent="0.15">
      <c r="A86" s="3">
        <v>1916</v>
      </c>
      <c r="B86" s="31"/>
      <c r="C86" s="31"/>
      <c r="D86" s="31"/>
      <c r="E86" s="32"/>
      <c r="F86" s="33">
        <v>445.82226274631927</v>
      </c>
      <c r="G86" s="33">
        <v>114.45927280040986</v>
      </c>
      <c r="H86" s="33">
        <v>194.21831877811042</v>
      </c>
      <c r="I86" s="33">
        <v>25.410625774224219</v>
      </c>
    </row>
    <row r="87" spans="1:9" x14ac:dyDescent="0.15">
      <c r="A87" s="3">
        <v>1917</v>
      </c>
      <c r="B87" s="31"/>
      <c r="C87" s="31"/>
      <c r="D87" s="31"/>
      <c r="E87" s="32"/>
      <c r="F87" s="33">
        <v>439.1349288051245</v>
      </c>
      <c r="G87" s="33">
        <v>80.121490960286906</v>
      </c>
      <c r="H87" s="33">
        <v>97.109159389055208</v>
      </c>
      <c r="I87" s="33">
        <v>12.705312887112109</v>
      </c>
    </row>
    <row r="88" spans="1:9" x14ac:dyDescent="0.15">
      <c r="A88" s="3">
        <v>1918</v>
      </c>
      <c r="B88" s="31"/>
      <c r="C88" s="31"/>
      <c r="D88" s="31"/>
      <c r="E88" s="32"/>
      <c r="F88" s="33">
        <v>432.54790487304763</v>
      </c>
      <c r="G88" s="33">
        <v>56.085043672200825</v>
      </c>
      <c r="H88" s="33">
        <v>48.554579694527604</v>
      </c>
      <c r="I88" s="33">
        <v>6.3526564435560546</v>
      </c>
    </row>
    <row r="89" spans="1:9" x14ac:dyDescent="0.15">
      <c r="A89" s="3">
        <v>1919</v>
      </c>
      <c r="B89" s="31"/>
      <c r="C89" s="31"/>
      <c r="D89" s="31"/>
      <c r="E89" s="32"/>
      <c r="F89" s="33">
        <v>426.05968629995192</v>
      </c>
      <c r="G89" s="33">
        <v>39.259530570540576</v>
      </c>
      <c r="H89" s="33">
        <v>24.277289847263802</v>
      </c>
      <c r="I89" s="33">
        <v>3.1763282217780273</v>
      </c>
    </row>
    <row r="90" spans="1:9" x14ac:dyDescent="0.15">
      <c r="A90" s="3">
        <v>1920</v>
      </c>
      <c r="B90" s="31"/>
      <c r="C90" s="31"/>
      <c r="D90" s="31"/>
      <c r="E90" s="32"/>
      <c r="F90" s="33">
        <v>417.7</v>
      </c>
      <c r="G90" s="33">
        <v>27.481671399378403</v>
      </c>
      <c r="H90" s="33">
        <v>12.138644923631901</v>
      </c>
      <c r="I90" s="33">
        <v>1.5881641108890137</v>
      </c>
    </row>
    <row r="91" spans="1:9" x14ac:dyDescent="0.15">
      <c r="A91" s="3">
        <v>1921</v>
      </c>
      <c r="B91" s="31"/>
      <c r="C91" s="31"/>
      <c r="D91" s="31"/>
      <c r="E91" s="32"/>
      <c r="F91" s="33">
        <v>340</v>
      </c>
      <c r="G91" s="33">
        <v>19.237169979564882</v>
      </c>
      <c r="H91" s="33">
        <v>6.0693224618159505</v>
      </c>
      <c r="I91" s="33">
        <v>0.79408205544450683</v>
      </c>
    </row>
    <row r="92" spans="1:9" x14ac:dyDescent="0.15">
      <c r="A92" s="3">
        <v>1922</v>
      </c>
      <c r="B92" s="31"/>
      <c r="C92" s="31"/>
      <c r="D92" s="31"/>
      <c r="E92" s="32"/>
      <c r="F92" s="33">
        <v>310.60000000000002</v>
      </c>
      <c r="G92" s="33">
        <v>13.466018985695419</v>
      </c>
      <c r="H92" s="33">
        <v>3.0346612309079752</v>
      </c>
      <c r="I92" s="33">
        <v>0.39704102772225341</v>
      </c>
    </row>
    <row r="93" spans="1:9" x14ac:dyDescent="0.15">
      <c r="A93" s="3">
        <v>1923</v>
      </c>
      <c r="B93" s="31"/>
      <c r="C93" s="31"/>
      <c r="D93" s="31"/>
      <c r="E93" s="32"/>
      <c r="F93" s="33">
        <v>263.2</v>
      </c>
      <c r="G93" s="33">
        <v>9.4262132899867908</v>
      </c>
      <c r="H93" s="33">
        <v>1.5173306154539876</v>
      </c>
      <c r="I93" s="33">
        <v>0.19852051386112671</v>
      </c>
    </row>
    <row r="94" spans="1:9" x14ac:dyDescent="0.15">
      <c r="A94" s="3">
        <v>1924</v>
      </c>
      <c r="B94" s="31"/>
      <c r="C94" s="31"/>
      <c r="D94" s="31"/>
      <c r="E94" s="32"/>
      <c r="F94" s="33">
        <v>354</v>
      </c>
      <c r="G94" s="33">
        <v>6.5983493029907532</v>
      </c>
      <c r="H94" s="33">
        <v>0.75866530772699381</v>
      </c>
      <c r="I94" s="33">
        <v>9.9260256930563354E-2</v>
      </c>
    </row>
    <row r="95" spans="1:9" x14ac:dyDescent="0.15">
      <c r="A95" s="3">
        <v>1925</v>
      </c>
      <c r="B95" s="31"/>
      <c r="C95" s="31"/>
      <c r="D95" s="31"/>
      <c r="E95" s="32"/>
      <c r="F95" s="33">
        <v>339.1</v>
      </c>
      <c r="G95" s="33">
        <v>4.6188445120935269</v>
      </c>
      <c r="H95" s="33">
        <v>0.3793326538634969</v>
      </c>
      <c r="I95" s="33">
        <v>4.9630128465281677E-2</v>
      </c>
    </row>
    <row r="96" spans="1:9" x14ac:dyDescent="0.15">
      <c r="A96" s="3">
        <v>1926</v>
      </c>
      <c r="B96" s="31"/>
      <c r="C96" s="31"/>
      <c r="D96" s="31"/>
      <c r="E96" s="32"/>
      <c r="F96" s="33">
        <v>332.5</v>
      </c>
      <c r="G96" s="33">
        <v>3.2331911584654689</v>
      </c>
      <c r="H96" s="33">
        <v>0.18966632693174845</v>
      </c>
      <c r="I96" s="33">
        <v>2.4815064232640838E-2</v>
      </c>
    </row>
    <row r="97" spans="1:9" x14ac:dyDescent="0.15">
      <c r="A97" s="3">
        <v>1927</v>
      </c>
      <c r="B97" s="31"/>
      <c r="C97" s="31"/>
      <c r="D97" s="31"/>
      <c r="E97" s="32"/>
      <c r="F97" s="33">
        <v>316</v>
      </c>
      <c r="G97" s="33">
        <v>2.2632338109258279</v>
      </c>
      <c r="H97" s="33">
        <v>9.4833163465874226E-2</v>
      </c>
      <c r="I97" s="33">
        <v>1.2407532116320419E-2</v>
      </c>
    </row>
    <row r="98" spans="1:9" x14ac:dyDescent="0.15">
      <c r="A98" s="3">
        <v>1928</v>
      </c>
      <c r="B98" s="31"/>
      <c r="C98" s="31"/>
      <c r="D98" s="31"/>
      <c r="E98" s="32"/>
      <c r="F98" s="33">
        <v>305</v>
      </c>
      <c r="G98" s="33">
        <v>1.5842636676480792</v>
      </c>
      <c r="H98" s="33">
        <v>4.7416581732937113E-2</v>
      </c>
      <c r="I98" s="33">
        <v>6.2037660581602096E-3</v>
      </c>
    </row>
    <row r="99" spans="1:9" x14ac:dyDescent="0.15">
      <c r="A99" s="3">
        <v>1929</v>
      </c>
      <c r="B99" s="31"/>
      <c r="C99" s="31"/>
      <c r="D99" s="31"/>
      <c r="E99" s="32"/>
      <c r="F99" s="33">
        <v>213.5</v>
      </c>
      <c r="G99" s="33">
        <v>1.1089845673536554</v>
      </c>
      <c r="H99" s="33">
        <v>2.3708290866468557E-2</v>
      </c>
      <c r="I99" s="33">
        <v>3.1018830290801048E-3</v>
      </c>
    </row>
    <row r="100" spans="1:9" x14ac:dyDescent="0.15">
      <c r="A100" s="3">
        <v>1930</v>
      </c>
      <c r="B100" s="31"/>
      <c r="C100" s="31"/>
      <c r="D100" s="31"/>
      <c r="E100" s="32"/>
      <c r="F100" s="33">
        <v>149.44999999999999</v>
      </c>
      <c r="G100" s="33">
        <v>0.77628919714755873</v>
      </c>
      <c r="H100" s="33">
        <v>0</v>
      </c>
      <c r="I100" s="33">
        <v>0</v>
      </c>
    </row>
    <row r="101" spans="1:9" x14ac:dyDescent="0.15">
      <c r="A101" s="3">
        <v>1931</v>
      </c>
      <c r="B101" s="31"/>
      <c r="C101" s="31"/>
      <c r="D101" s="31"/>
      <c r="E101" s="32"/>
      <c r="F101" s="33">
        <v>104.61499999999999</v>
      </c>
      <c r="G101" s="33">
        <v>0.54340243800329102</v>
      </c>
      <c r="H101" s="33"/>
      <c r="I101" s="33"/>
    </row>
    <row r="102" spans="1:9" x14ac:dyDescent="0.15">
      <c r="A102" s="3">
        <v>1932</v>
      </c>
      <c r="B102" s="31"/>
      <c r="C102" s="31"/>
      <c r="D102" s="31"/>
      <c r="E102" s="32"/>
      <c r="F102" s="33">
        <v>73.230500000000006</v>
      </c>
      <c r="G102" s="33">
        <v>0.38038170660230369</v>
      </c>
      <c r="H102" s="33"/>
      <c r="I102" s="33"/>
    </row>
    <row r="103" spans="1:9" x14ac:dyDescent="0.15">
      <c r="A103" s="3">
        <v>1933</v>
      </c>
      <c r="B103" s="31"/>
      <c r="C103" s="31"/>
      <c r="D103" s="31"/>
      <c r="E103" s="32"/>
      <c r="F103" s="33">
        <v>51.26135</v>
      </c>
      <c r="G103" s="33">
        <v>0.26626719462161264</v>
      </c>
      <c r="H103" s="33"/>
      <c r="I103" s="33"/>
    </row>
    <row r="104" spans="1:9" x14ac:dyDescent="0.15">
      <c r="A104" s="3">
        <v>1934</v>
      </c>
      <c r="B104" s="31"/>
      <c r="C104" s="31"/>
      <c r="D104" s="31"/>
      <c r="E104" s="32"/>
      <c r="F104" s="33">
        <v>35.882944999999999</v>
      </c>
      <c r="G104" s="33">
        <v>0.18638703623512881</v>
      </c>
      <c r="H104" s="33"/>
      <c r="I104" s="33"/>
    </row>
    <row r="105" spans="1:9" x14ac:dyDescent="0.15">
      <c r="A105" s="3">
        <v>1935</v>
      </c>
      <c r="B105" s="31"/>
      <c r="C105" s="31"/>
      <c r="D105" s="31"/>
      <c r="E105" s="32"/>
      <c r="F105" s="33">
        <v>25.1180615</v>
      </c>
      <c r="G105" s="33">
        <v>0.13047092536459015</v>
      </c>
      <c r="H105" s="33"/>
      <c r="I105" s="33"/>
    </row>
    <row r="106" spans="1:9" x14ac:dyDescent="0.15">
      <c r="A106" s="3">
        <v>1936</v>
      </c>
      <c r="B106" s="31"/>
      <c r="C106" s="31"/>
      <c r="D106" s="31"/>
      <c r="E106" s="32"/>
      <c r="F106" s="33">
        <v>17.582643050000001</v>
      </c>
      <c r="G106" s="33">
        <v>9.1329647755213114E-2</v>
      </c>
      <c r="H106" s="33"/>
      <c r="I106" s="33"/>
    </row>
    <row r="107" spans="1:9" x14ac:dyDescent="0.15">
      <c r="A107" s="3">
        <v>1937</v>
      </c>
      <c r="B107" s="31"/>
      <c r="C107" s="31"/>
      <c r="D107" s="31"/>
      <c r="E107" s="32"/>
      <c r="F107" s="33">
        <v>12.307850134999999</v>
      </c>
      <c r="G107" s="33">
        <v>6.3930753428649179E-2</v>
      </c>
      <c r="H107" s="33"/>
      <c r="I107" s="33"/>
    </row>
    <row r="108" spans="1:9" x14ac:dyDescent="0.15">
      <c r="A108" s="3">
        <v>1938</v>
      </c>
      <c r="B108" s="31"/>
      <c r="C108" s="31"/>
      <c r="D108" s="31"/>
      <c r="E108" s="32"/>
      <c r="F108" s="33">
        <v>0</v>
      </c>
      <c r="G108" s="33">
        <v>0</v>
      </c>
      <c r="H108" s="33"/>
      <c r="I108" s="33"/>
    </row>
    <row r="109" spans="1:9" x14ac:dyDescent="0.15">
      <c r="A109" s="3">
        <v>1939</v>
      </c>
      <c r="B109" s="31"/>
      <c r="C109" s="31"/>
      <c r="D109" s="31"/>
      <c r="E109" s="32"/>
      <c r="F109" s="33"/>
      <c r="G109" s="33"/>
      <c r="H109" s="33"/>
      <c r="I109" s="33"/>
    </row>
    <row r="110" spans="1:9" x14ac:dyDescent="0.15">
      <c r="A110" s="3">
        <v>1940</v>
      </c>
      <c r="B110" s="31"/>
      <c r="C110" s="31"/>
      <c r="D110" s="31"/>
      <c r="E110" s="32"/>
      <c r="F110" s="33"/>
      <c r="G110" s="33"/>
      <c r="H110" s="33"/>
      <c r="I110" s="33"/>
    </row>
    <row r="111" spans="1:9" x14ac:dyDescent="0.15">
      <c r="A111" s="3">
        <v>1941</v>
      </c>
      <c r="B111" s="31"/>
      <c r="C111" s="31"/>
      <c r="D111" s="31"/>
      <c r="E111" s="32"/>
      <c r="F111" s="33"/>
      <c r="G111" s="33"/>
      <c r="H111" s="33"/>
      <c r="I111" s="33"/>
    </row>
    <row r="112" spans="1:9" x14ac:dyDescent="0.15">
      <c r="A112" s="3">
        <v>1942</v>
      </c>
      <c r="B112" s="31"/>
      <c r="C112" s="31"/>
      <c r="D112" s="31"/>
      <c r="E112" s="32"/>
      <c r="F112" s="33"/>
      <c r="G112" s="33"/>
      <c r="H112" s="33"/>
      <c r="I112" s="33"/>
    </row>
    <row r="113" spans="1:9" x14ac:dyDescent="0.15">
      <c r="A113" s="3">
        <v>1943</v>
      </c>
      <c r="B113" s="31"/>
      <c r="C113" s="31"/>
      <c r="D113" s="31"/>
      <c r="E113" s="32"/>
      <c r="F113" s="33"/>
      <c r="G113" s="33"/>
      <c r="H113" s="33"/>
      <c r="I113" s="33"/>
    </row>
    <row r="114" spans="1:9" x14ac:dyDescent="0.15">
      <c r="A114" s="3">
        <v>1944</v>
      </c>
      <c r="B114" s="31"/>
      <c r="C114" s="31"/>
      <c r="D114" s="31"/>
      <c r="E114" s="32"/>
      <c r="F114" s="33"/>
      <c r="G114" s="33"/>
      <c r="H114" s="33"/>
      <c r="I114" s="33"/>
    </row>
    <row r="115" spans="1:9" x14ac:dyDescent="0.15">
      <c r="A115" s="3">
        <v>1945</v>
      </c>
      <c r="B115" s="31"/>
      <c r="C115" s="31"/>
      <c r="D115" s="31"/>
      <c r="E115" s="32"/>
      <c r="F115" s="33"/>
      <c r="G115" s="33"/>
      <c r="H115" s="33"/>
      <c r="I115" s="33"/>
    </row>
    <row r="116" spans="1:9" x14ac:dyDescent="0.15">
      <c r="A116" s="3">
        <v>1946</v>
      </c>
      <c r="B116" s="31"/>
      <c r="C116" s="31"/>
      <c r="D116" s="31"/>
      <c r="E116" s="32"/>
      <c r="F116" s="33"/>
      <c r="G116" s="33"/>
      <c r="H116" s="33"/>
      <c r="I116" s="33"/>
    </row>
    <row r="117" spans="1:9" x14ac:dyDescent="0.15">
      <c r="A117" s="3">
        <v>1947</v>
      </c>
      <c r="B117" s="31"/>
      <c r="C117" s="31"/>
      <c r="D117" s="31"/>
      <c r="E117" s="32"/>
      <c r="F117" s="33"/>
      <c r="G117" s="33"/>
      <c r="H117" s="33"/>
      <c r="I117" s="33"/>
    </row>
    <row r="118" spans="1:9" x14ac:dyDescent="0.15">
      <c r="A118" s="3">
        <v>1948</v>
      </c>
      <c r="B118" s="31"/>
      <c r="C118" s="31"/>
      <c r="D118" s="31"/>
      <c r="E118" s="32"/>
      <c r="F118" s="33"/>
      <c r="G118" s="33"/>
      <c r="H118" s="33"/>
      <c r="I118" s="33"/>
    </row>
    <row r="119" spans="1:9" x14ac:dyDescent="0.15">
      <c r="A119" s="3">
        <v>1949</v>
      </c>
      <c r="B119" s="31"/>
      <c r="C119" s="31"/>
      <c r="D119" s="31"/>
      <c r="E119" s="32"/>
      <c r="F119" s="33"/>
      <c r="G119" s="33"/>
      <c r="H119" s="33"/>
      <c r="I119" s="33"/>
    </row>
    <row r="120" spans="1:9" x14ac:dyDescent="0.15">
      <c r="A120" s="3">
        <v>1950</v>
      </c>
      <c r="B120" s="31"/>
      <c r="C120" s="31"/>
      <c r="D120" s="31"/>
      <c r="E120" s="32"/>
      <c r="F120" s="33"/>
      <c r="G120" s="33"/>
      <c r="H120" s="33"/>
      <c r="I120" s="33"/>
    </row>
    <row r="121" spans="1:9" x14ac:dyDescent="0.15">
      <c r="A121" s="3">
        <v>1951</v>
      </c>
      <c r="B121" s="31"/>
      <c r="C121" s="31"/>
      <c r="D121" s="31"/>
      <c r="E121" s="32"/>
      <c r="F121" s="33"/>
      <c r="G121" s="33"/>
      <c r="H121" s="33"/>
      <c r="I121" s="33"/>
    </row>
    <row r="122" spans="1:9" x14ac:dyDescent="0.15">
      <c r="A122" s="3">
        <v>1952</v>
      </c>
      <c r="B122" s="31"/>
      <c r="C122" s="31"/>
      <c r="D122" s="31"/>
      <c r="E122" s="32"/>
      <c r="F122" s="33"/>
      <c r="G122" s="33"/>
      <c r="H122" s="33"/>
      <c r="I122" s="33"/>
    </row>
    <row r="123" spans="1:9" x14ac:dyDescent="0.15">
      <c r="A123" s="3">
        <v>1953</v>
      </c>
      <c r="B123" s="31"/>
      <c r="C123" s="31"/>
      <c r="D123" s="31"/>
      <c r="E123" s="32"/>
      <c r="F123" s="33"/>
      <c r="G123" s="33"/>
      <c r="H123" s="33"/>
      <c r="I123" s="33"/>
    </row>
    <row r="124" spans="1:9" x14ac:dyDescent="0.15">
      <c r="A124" s="3">
        <v>1954</v>
      </c>
      <c r="B124" s="31"/>
      <c r="C124" s="31"/>
      <c r="D124" s="31"/>
      <c r="E124" s="32"/>
      <c r="F124" s="33"/>
      <c r="G124" s="33"/>
      <c r="H124" s="33"/>
      <c r="I124" s="33"/>
    </row>
    <row r="125" spans="1:9" x14ac:dyDescent="0.15">
      <c r="A125" s="3">
        <v>1955</v>
      </c>
      <c r="B125" s="31"/>
      <c r="C125" s="31"/>
      <c r="D125" s="31"/>
      <c r="E125" s="32"/>
      <c r="F125" s="33"/>
      <c r="G125" s="33"/>
      <c r="H125" s="33"/>
      <c r="I125" s="33"/>
    </row>
    <row r="126" spans="1:9" x14ac:dyDescent="0.15">
      <c r="A126" s="3">
        <v>1956</v>
      </c>
      <c r="B126" s="31"/>
      <c r="C126" s="31"/>
      <c r="D126" s="31"/>
      <c r="E126" s="32"/>
      <c r="F126" s="33"/>
      <c r="G126" s="33"/>
      <c r="H126" s="33"/>
      <c r="I126" s="33"/>
    </row>
    <row r="127" spans="1:9" x14ac:dyDescent="0.15">
      <c r="A127" s="3">
        <v>1957</v>
      </c>
      <c r="B127" s="31"/>
      <c r="C127" s="31"/>
      <c r="D127" s="31"/>
      <c r="E127" s="32"/>
      <c r="F127" s="33"/>
      <c r="G127" s="33"/>
      <c r="H127" s="33"/>
      <c r="I127" s="33"/>
    </row>
    <row r="128" spans="1:9" x14ac:dyDescent="0.15">
      <c r="A128" s="3">
        <v>1958</v>
      </c>
      <c r="B128" s="31"/>
      <c r="C128" s="31"/>
      <c r="D128" s="31"/>
      <c r="E128" s="32"/>
      <c r="F128" s="33"/>
      <c r="G128" s="33"/>
      <c r="H128" s="33"/>
      <c r="I128" s="33"/>
    </row>
    <row r="129" spans="1:9" x14ac:dyDescent="0.15">
      <c r="A129" s="3">
        <v>1959</v>
      </c>
      <c r="B129" s="31"/>
      <c r="C129" s="31"/>
      <c r="D129" s="31"/>
      <c r="E129" s="32"/>
      <c r="F129" s="33"/>
      <c r="G129" s="33"/>
      <c r="H129" s="33"/>
      <c r="I129" s="33"/>
    </row>
    <row r="130" spans="1:9" x14ac:dyDescent="0.15">
      <c r="A130" s="3">
        <v>1960</v>
      </c>
      <c r="B130" s="31"/>
      <c r="C130" s="31"/>
      <c r="D130" s="31"/>
      <c r="E130" s="32"/>
      <c r="F130" s="33"/>
      <c r="G130" s="33"/>
      <c r="H130" s="33"/>
      <c r="I130" s="33"/>
    </row>
    <row r="131" spans="1:9" x14ac:dyDescent="0.15">
      <c r="A131" s="3">
        <v>1961</v>
      </c>
      <c r="B131" s="31"/>
      <c r="C131" s="31"/>
      <c r="D131" s="31"/>
      <c r="E131" s="32">
        <v>48</v>
      </c>
      <c r="F131" s="33">
        <v>130</v>
      </c>
      <c r="G131" s="33"/>
      <c r="H131" s="33"/>
      <c r="I131" s="33">
        <v>102</v>
      </c>
    </row>
    <row r="132" spans="1:9" x14ac:dyDescent="0.15">
      <c r="A132" s="3">
        <v>1962</v>
      </c>
      <c r="B132" s="31"/>
      <c r="C132" s="31"/>
      <c r="D132" s="31"/>
      <c r="E132" s="32"/>
      <c r="F132" s="33">
        <v>130</v>
      </c>
      <c r="G132" s="33"/>
      <c r="H132" s="33"/>
      <c r="I132" s="33">
        <v>102</v>
      </c>
    </row>
    <row r="133" spans="1:9" x14ac:dyDescent="0.15">
      <c r="A133" s="3">
        <v>1963</v>
      </c>
      <c r="B133" s="31"/>
      <c r="C133" s="31"/>
      <c r="D133" s="31"/>
      <c r="E133" s="32"/>
      <c r="F133" s="33">
        <v>130</v>
      </c>
      <c r="G133" s="33"/>
      <c r="H133" s="33"/>
      <c r="I133" s="33">
        <v>102</v>
      </c>
    </row>
    <row r="134" spans="1:9" x14ac:dyDescent="0.15">
      <c r="A134" s="3">
        <v>1964</v>
      </c>
      <c r="B134" s="31"/>
      <c r="C134" s="31"/>
      <c r="D134" s="31"/>
      <c r="E134" s="32"/>
      <c r="F134" s="33">
        <v>130</v>
      </c>
      <c r="G134" s="33"/>
      <c r="H134" s="33"/>
      <c r="I134" s="33">
        <v>102</v>
      </c>
    </row>
    <row r="135" spans="1:9" x14ac:dyDescent="0.15">
      <c r="A135" s="3">
        <v>1965</v>
      </c>
      <c r="B135" s="31"/>
      <c r="C135" s="31"/>
      <c r="D135" s="31"/>
      <c r="E135" s="32">
        <v>368</v>
      </c>
      <c r="F135" s="33">
        <v>130</v>
      </c>
      <c r="G135" s="33"/>
      <c r="H135" s="33"/>
      <c r="I135" s="33">
        <v>470</v>
      </c>
    </row>
    <row r="136" spans="1:9" x14ac:dyDescent="0.15">
      <c r="A136" s="3">
        <v>1966</v>
      </c>
      <c r="B136" s="31"/>
      <c r="C136" s="31"/>
      <c r="D136" s="31"/>
      <c r="E136" s="32">
        <v>176</v>
      </c>
      <c r="F136" s="33">
        <v>130</v>
      </c>
      <c r="G136" s="33"/>
      <c r="H136" s="33"/>
      <c r="I136" s="33">
        <v>646</v>
      </c>
    </row>
    <row r="137" spans="1:9" x14ac:dyDescent="0.15">
      <c r="A137" s="3">
        <v>1967</v>
      </c>
      <c r="B137" s="31"/>
      <c r="C137" s="31"/>
      <c r="D137" s="31"/>
      <c r="E137" s="32">
        <v>155</v>
      </c>
      <c r="F137" s="33">
        <v>130</v>
      </c>
      <c r="G137" s="33"/>
      <c r="H137" s="33"/>
      <c r="I137" s="33">
        <v>724</v>
      </c>
    </row>
    <row r="138" spans="1:9" x14ac:dyDescent="0.15">
      <c r="A138" s="3">
        <v>1968</v>
      </c>
      <c r="B138" s="31"/>
      <c r="C138" s="31"/>
      <c r="D138" s="31"/>
      <c r="E138" s="32">
        <v>60</v>
      </c>
      <c r="F138" s="33">
        <v>130</v>
      </c>
      <c r="G138" s="33"/>
      <c r="H138" s="33"/>
      <c r="I138" s="33">
        <v>779</v>
      </c>
    </row>
    <row r="139" spans="1:9" x14ac:dyDescent="0.15">
      <c r="A139" s="3">
        <v>1969</v>
      </c>
      <c r="B139" s="31"/>
      <c r="C139" s="31"/>
      <c r="D139" s="31"/>
      <c r="E139" s="32"/>
      <c r="F139" s="33"/>
      <c r="G139" s="33"/>
      <c r="H139" s="33"/>
      <c r="I139" s="33">
        <v>816</v>
      </c>
    </row>
    <row r="140" spans="1:9" x14ac:dyDescent="0.15">
      <c r="A140" s="3">
        <v>1970</v>
      </c>
      <c r="B140" s="31"/>
      <c r="C140" s="31"/>
      <c r="D140" s="31"/>
      <c r="E140" s="32">
        <v>336</v>
      </c>
      <c r="F140" s="33"/>
      <c r="G140" s="33"/>
      <c r="H140" s="33"/>
      <c r="I140" s="33">
        <v>1113</v>
      </c>
    </row>
    <row r="141" spans="1:9" x14ac:dyDescent="0.15">
      <c r="A141" s="3">
        <v>1971</v>
      </c>
      <c r="B141" s="31"/>
      <c r="C141" s="31"/>
      <c r="D141" s="31"/>
      <c r="E141" s="32">
        <v>421</v>
      </c>
      <c r="F141" s="33"/>
      <c r="G141" s="33"/>
      <c r="H141" s="33"/>
      <c r="I141" s="33">
        <v>1463</v>
      </c>
    </row>
    <row r="142" spans="1:9" x14ac:dyDescent="0.15">
      <c r="A142" s="3">
        <v>1972</v>
      </c>
      <c r="B142" s="31"/>
      <c r="C142" s="31"/>
      <c r="D142" s="31">
        <v>222</v>
      </c>
      <c r="E142" s="32">
        <v>934</v>
      </c>
      <c r="F142" s="33"/>
      <c r="G142" s="33"/>
      <c r="H142" s="33">
        <v>222</v>
      </c>
      <c r="I142" s="33">
        <v>2328</v>
      </c>
    </row>
    <row r="143" spans="1:9" x14ac:dyDescent="0.15">
      <c r="A143" s="3">
        <v>1973</v>
      </c>
      <c r="B143" s="31"/>
      <c r="C143" s="31"/>
      <c r="D143" s="31">
        <v>294</v>
      </c>
      <c r="E143" s="32">
        <v>414</v>
      </c>
      <c r="F143" s="33"/>
      <c r="G143" s="33"/>
      <c r="H143" s="33">
        <v>513</v>
      </c>
      <c r="I143" s="33">
        <v>2659</v>
      </c>
    </row>
    <row r="144" spans="1:9" x14ac:dyDescent="0.15">
      <c r="A144" s="3">
        <v>1974</v>
      </c>
      <c r="B144" s="31"/>
      <c r="C144" s="31"/>
      <c r="D144" s="31"/>
      <c r="E144" s="32">
        <v>233</v>
      </c>
      <c r="F144" s="33"/>
      <c r="G144" s="33"/>
      <c r="H144" s="33">
        <v>511</v>
      </c>
      <c r="I144" s="33">
        <v>2795</v>
      </c>
    </row>
    <row r="145" spans="1:9" x14ac:dyDescent="0.15">
      <c r="A145" s="3">
        <v>1975</v>
      </c>
      <c r="B145" s="31"/>
      <c r="C145" s="31">
        <v>505</v>
      </c>
      <c r="D145" s="31">
        <v>728</v>
      </c>
      <c r="E145" s="32">
        <v>1753</v>
      </c>
      <c r="F145" s="33"/>
      <c r="G145" s="33">
        <v>505</v>
      </c>
      <c r="H145" s="33">
        <v>1234</v>
      </c>
      <c r="I145" s="33">
        <v>4362</v>
      </c>
    </row>
    <row r="146" spans="1:9" x14ac:dyDescent="0.15">
      <c r="A146" s="3">
        <v>1976</v>
      </c>
      <c r="B146" s="31"/>
      <c r="C146" s="31">
        <v>86</v>
      </c>
      <c r="D146" s="31">
        <v>432</v>
      </c>
      <c r="E146" s="32">
        <v>2392</v>
      </c>
      <c r="F146" s="33"/>
      <c r="G146" s="33">
        <v>577</v>
      </c>
      <c r="H146" s="33">
        <v>1647</v>
      </c>
      <c r="I146" s="33">
        <v>6641</v>
      </c>
    </row>
    <row r="147" spans="1:9" x14ac:dyDescent="0.15">
      <c r="A147" s="3">
        <v>1977</v>
      </c>
      <c r="B147" s="31">
        <v>3710</v>
      </c>
      <c r="C147" s="31">
        <v>561</v>
      </c>
      <c r="D147" s="31"/>
      <c r="E147" s="32">
        <v>1961</v>
      </c>
      <c r="F147" s="33">
        <v>3710</v>
      </c>
      <c r="G147" s="33">
        <v>1124</v>
      </c>
      <c r="H147" s="33">
        <v>1610</v>
      </c>
      <c r="I147" s="33">
        <v>8439</v>
      </c>
    </row>
    <row r="148" spans="1:9" x14ac:dyDescent="0.15">
      <c r="A148" s="3">
        <v>1978</v>
      </c>
      <c r="B148" s="31">
        <v>1399</v>
      </c>
      <c r="C148" s="31">
        <v>224</v>
      </c>
      <c r="D148" s="31">
        <v>305</v>
      </c>
      <c r="E148" s="32">
        <v>876</v>
      </c>
      <c r="F148" s="33">
        <v>5091</v>
      </c>
      <c r="G148" s="33">
        <v>1335</v>
      </c>
      <c r="H148" s="33">
        <v>1854</v>
      </c>
      <c r="I148" s="33">
        <v>9095</v>
      </c>
    </row>
    <row r="149" spans="1:9" x14ac:dyDescent="0.15">
      <c r="A149" s="3">
        <v>1979</v>
      </c>
      <c r="B149" s="31">
        <v>4918</v>
      </c>
      <c r="C149" s="31">
        <v>339</v>
      </c>
      <c r="D149" s="31">
        <v>87</v>
      </c>
      <c r="E149" s="32">
        <v>61</v>
      </c>
      <c r="F149" s="33">
        <v>9992</v>
      </c>
      <c r="G149" s="33">
        <v>1642</v>
      </c>
      <c r="H149" s="33">
        <v>1669</v>
      </c>
      <c r="I149" s="33">
        <v>8872</v>
      </c>
    </row>
    <row r="150" spans="1:9" x14ac:dyDescent="0.15">
      <c r="A150" s="3">
        <v>1980</v>
      </c>
      <c r="B150" s="31">
        <v>6738</v>
      </c>
      <c r="C150" s="31">
        <v>877</v>
      </c>
      <c r="D150" s="31">
        <v>1109</v>
      </c>
      <c r="E150" s="32">
        <v>288</v>
      </c>
      <c r="F150" s="33">
        <v>16712</v>
      </c>
      <c r="G150" s="33">
        <v>2465</v>
      </c>
      <c r="H150" s="33">
        <v>2545</v>
      </c>
      <c r="I150" s="33">
        <v>8478</v>
      </c>
    </row>
    <row r="151" spans="1:9" x14ac:dyDescent="0.15">
      <c r="A151" s="3">
        <v>1981</v>
      </c>
      <c r="B151" s="31">
        <v>2881</v>
      </c>
      <c r="C151" s="31">
        <v>503</v>
      </c>
      <c r="D151" s="31">
        <v>1957</v>
      </c>
      <c r="E151" s="32">
        <v>1017</v>
      </c>
      <c r="F151" s="33">
        <v>18941</v>
      </c>
      <c r="G151" s="33">
        <v>2875</v>
      </c>
      <c r="H151" s="33">
        <v>4254</v>
      </c>
      <c r="I151" s="33">
        <v>9014</v>
      </c>
    </row>
    <row r="152" spans="1:9" x14ac:dyDescent="0.15">
      <c r="A152" s="3">
        <v>1982</v>
      </c>
      <c r="B152" s="31">
        <v>9013</v>
      </c>
      <c r="C152" s="31">
        <v>359</v>
      </c>
      <c r="D152" s="31">
        <v>7996</v>
      </c>
      <c r="E152" s="32"/>
      <c r="F152" s="33"/>
      <c r="G152" s="33"/>
      <c r="H152" s="33"/>
      <c r="I152" s="33"/>
    </row>
    <row r="153" spans="1:9" x14ac:dyDescent="0.15">
      <c r="A153" s="3">
        <v>1983</v>
      </c>
      <c r="B153" s="31"/>
      <c r="C153" s="31"/>
      <c r="D153" s="31"/>
      <c r="E153" s="32"/>
      <c r="F153" s="33"/>
      <c r="G153" s="33"/>
      <c r="H153" s="33"/>
      <c r="I153" s="33"/>
    </row>
    <row r="154" spans="1:9" x14ac:dyDescent="0.15">
      <c r="A154" s="3">
        <v>1984</v>
      </c>
      <c r="B154" s="31"/>
      <c r="C154" s="31"/>
      <c r="D154" s="31"/>
      <c r="E154" s="32"/>
      <c r="F154" s="33"/>
      <c r="G154" s="33"/>
      <c r="H154" s="33"/>
      <c r="I154" s="33"/>
    </row>
    <row r="155" spans="1:9" x14ac:dyDescent="0.15">
      <c r="A155" s="3">
        <v>1985</v>
      </c>
      <c r="B155" s="31"/>
      <c r="C155" s="31"/>
      <c r="D155" s="31"/>
      <c r="E155" s="32"/>
      <c r="F155" s="33"/>
      <c r="G155" s="33"/>
      <c r="H155" s="33"/>
      <c r="I155" s="33"/>
    </row>
    <row r="156" spans="1:9" x14ac:dyDescent="0.15">
      <c r="A156" s="3">
        <v>1986</v>
      </c>
      <c r="B156" s="31"/>
      <c r="C156" s="31"/>
      <c r="D156" s="31"/>
      <c r="E156" s="32"/>
      <c r="F156" s="33">
        <v>98597</v>
      </c>
      <c r="G156" s="33">
        <v>3715</v>
      </c>
      <c r="H156" s="33">
        <v>42377</v>
      </c>
      <c r="I156" s="33">
        <v>19785</v>
      </c>
    </row>
    <row r="157" spans="1:9" x14ac:dyDescent="0.15">
      <c r="A157" s="3">
        <v>1987</v>
      </c>
      <c r="B157" s="31"/>
      <c r="C157" s="31"/>
      <c r="D157" s="31"/>
      <c r="E157" s="32"/>
      <c r="F157" s="33">
        <v>90198</v>
      </c>
      <c r="G157" s="33">
        <v>3834</v>
      </c>
      <c r="H157" s="33">
        <v>45022</v>
      </c>
      <c r="I157" s="33">
        <v>16714</v>
      </c>
    </row>
    <row r="158" spans="1:9" x14ac:dyDescent="0.15">
      <c r="A158" s="3">
        <v>1988</v>
      </c>
      <c r="B158" s="31"/>
      <c r="C158" s="31"/>
      <c r="D158" s="31"/>
      <c r="E158" s="32"/>
      <c r="F158" s="33">
        <v>80628</v>
      </c>
      <c r="G158" s="33">
        <v>3175</v>
      </c>
      <c r="H158" s="33">
        <v>64500</v>
      </c>
      <c r="I158" s="33">
        <v>15132</v>
      </c>
    </row>
    <row r="159" spans="1:9" x14ac:dyDescent="0.15">
      <c r="A159" s="3">
        <v>1989</v>
      </c>
      <c r="B159" s="31"/>
      <c r="C159" s="31"/>
      <c r="D159" s="31">
        <v>1000</v>
      </c>
      <c r="E159" s="32">
        <v>1300</v>
      </c>
      <c r="F159" s="33">
        <v>144468</v>
      </c>
      <c r="G159" s="33">
        <v>2720.5</v>
      </c>
      <c r="H159" s="33">
        <v>94722</v>
      </c>
      <c r="I159" s="33">
        <v>27442</v>
      </c>
    </row>
    <row r="160" spans="1:9" x14ac:dyDescent="0.15">
      <c r="A160" s="3">
        <v>1990</v>
      </c>
      <c r="B160" s="31"/>
      <c r="C160" s="31"/>
      <c r="D160" s="31">
        <v>400</v>
      </c>
      <c r="E160" s="32"/>
      <c r="F160" s="33">
        <v>116994</v>
      </c>
      <c r="G160" s="33">
        <v>2266</v>
      </c>
      <c r="H160" s="33">
        <v>108111</v>
      </c>
      <c r="I160" s="33">
        <v>21051</v>
      </c>
    </row>
    <row r="161" spans="1:9" x14ac:dyDescent="0.15">
      <c r="A161" s="3">
        <v>1991</v>
      </c>
      <c r="B161" s="31"/>
      <c r="C161" s="31"/>
      <c r="D161" s="31">
        <v>2125</v>
      </c>
      <c r="E161" s="32">
        <v>300</v>
      </c>
      <c r="F161" s="33">
        <v>96635</v>
      </c>
      <c r="G161" s="33">
        <v>3670</v>
      </c>
      <c r="H161" s="33">
        <v>110651</v>
      </c>
      <c r="I161" s="33">
        <v>7832</v>
      </c>
    </row>
    <row r="162" spans="1:9" x14ac:dyDescent="0.15">
      <c r="A162" s="3">
        <v>1992</v>
      </c>
      <c r="B162" s="31"/>
      <c r="C162" s="31"/>
      <c r="D162" s="31">
        <v>150</v>
      </c>
      <c r="E162" s="32"/>
      <c r="F162" s="33">
        <v>140842</v>
      </c>
      <c r="G162" s="33">
        <v>7884</v>
      </c>
      <c r="H162" s="33">
        <v>137395</v>
      </c>
      <c r="I162" s="33">
        <v>8132</v>
      </c>
    </row>
    <row r="163" spans="1:9" x14ac:dyDescent="0.15">
      <c r="A163" s="3">
        <v>1993</v>
      </c>
      <c r="B163" s="31"/>
      <c r="C163" s="31"/>
      <c r="D163" s="31">
        <v>1000</v>
      </c>
      <c r="E163" s="32">
        <v>500</v>
      </c>
      <c r="F163" s="33">
        <v>309800</v>
      </c>
      <c r="G163" s="33">
        <v>12205</v>
      </c>
      <c r="H163" s="33">
        <v>172728</v>
      </c>
      <c r="I163" s="33">
        <v>4051</v>
      </c>
    </row>
    <row r="164" spans="1:9" x14ac:dyDescent="0.15">
      <c r="A164" s="3">
        <v>1994</v>
      </c>
      <c r="B164" s="31"/>
      <c r="C164" s="31"/>
      <c r="D164" s="31"/>
      <c r="E164" s="32"/>
      <c r="F164" s="33">
        <v>382233</v>
      </c>
      <c r="G164" s="33">
        <v>13643</v>
      </c>
      <c r="H164" s="33">
        <v>151070</v>
      </c>
      <c r="I164" s="33">
        <v>11126</v>
      </c>
    </row>
    <row r="165" spans="1:9" x14ac:dyDescent="0.15">
      <c r="A165" s="5">
        <v>1995</v>
      </c>
      <c r="B165" s="34"/>
      <c r="C165" s="34"/>
      <c r="D165" s="34"/>
      <c r="E165" s="35">
        <v>150</v>
      </c>
      <c r="F165" s="34">
        <v>469273</v>
      </c>
      <c r="G165" s="34">
        <v>12002</v>
      </c>
      <c r="H165" s="34">
        <v>124002</v>
      </c>
      <c r="I165" s="34">
        <v>6142</v>
      </c>
    </row>
    <row r="166" spans="1:9" x14ac:dyDescent="0.15">
      <c r="A166" s="5">
        <v>1996</v>
      </c>
      <c r="B166" s="34"/>
      <c r="C166" s="34"/>
      <c r="D166" s="34"/>
      <c r="E166" s="35">
        <v>500</v>
      </c>
      <c r="F166" s="34">
        <v>546540</v>
      </c>
      <c r="G166" s="34">
        <v>8242</v>
      </c>
      <c r="H166" s="34">
        <v>270197</v>
      </c>
      <c r="I166" s="34">
        <v>5716</v>
      </c>
    </row>
    <row r="167" spans="1:9" x14ac:dyDescent="0.15">
      <c r="A167" s="5">
        <v>1997</v>
      </c>
      <c r="B167" s="34"/>
      <c r="C167" s="34">
        <v>900</v>
      </c>
      <c r="D167" s="34"/>
      <c r="E167" s="35"/>
      <c r="F167" s="34">
        <v>543414</v>
      </c>
      <c r="G167" s="34">
        <v>13884</v>
      </c>
      <c r="H167" s="34">
        <v>328908</v>
      </c>
      <c r="I167" s="34">
        <v>29311</v>
      </c>
    </row>
    <row r="168" spans="1:9" x14ac:dyDescent="0.15">
      <c r="A168" s="5">
        <v>1998</v>
      </c>
      <c r="B168" s="34"/>
      <c r="C168" s="34"/>
      <c r="D168" s="34"/>
      <c r="E168" s="35">
        <v>300</v>
      </c>
      <c r="F168" s="34">
        <v>579412</v>
      </c>
      <c r="G168" s="34">
        <v>12165</v>
      </c>
      <c r="H168" s="34">
        <v>356778</v>
      </c>
      <c r="I168" s="34">
        <v>25628</v>
      </c>
    </row>
    <row r="169" spans="1:9" x14ac:dyDescent="0.15">
      <c r="A169" s="5">
        <v>1999</v>
      </c>
      <c r="B169" s="34"/>
      <c r="C169" s="34"/>
      <c r="D169" s="34"/>
      <c r="E169" s="35"/>
      <c r="F169" s="34">
        <v>423754</v>
      </c>
      <c r="G169" s="34">
        <v>8508</v>
      </c>
      <c r="H169" s="34">
        <v>425359</v>
      </c>
      <c r="I169" s="34">
        <v>40306</v>
      </c>
    </row>
    <row r="170" spans="1:9" x14ac:dyDescent="0.15">
      <c r="A170" s="5">
        <v>2000</v>
      </c>
      <c r="B170" s="34"/>
      <c r="C170" s="34"/>
      <c r="D170" s="34"/>
      <c r="E170" s="35"/>
      <c r="F170" s="34">
        <v>400898</v>
      </c>
      <c r="G170" s="34">
        <v>9306</v>
      </c>
      <c r="H170" s="34">
        <v>457496</v>
      </c>
      <c r="I170" s="34">
        <v>74943</v>
      </c>
    </row>
    <row r="171" spans="1:9" x14ac:dyDescent="0.15">
      <c r="A171" s="5">
        <v>2001</v>
      </c>
      <c r="B171" s="34"/>
      <c r="C171" s="34"/>
      <c r="D171" s="34"/>
      <c r="E171" s="35"/>
      <c r="F171" s="34">
        <v>328728</v>
      </c>
      <c r="G171" s="34">
        <v>7516</v>
      </c>
      <c r="H171" s="34">
        <v>477006</v>
      </c>
      <c r="I171" s="34">
        <v>105285</v>
      </c>
    </row>
    <row r="172" spans="1:9" x14ac:dyDescent="0.15">
      <c r="A172" s="5">
        <v>2002</v>
      </c>
      <c r="B172" s="34"/>
      <c r="C172" s="34"/>
      <c r="D172" s="34"/>
      <c r="E172" s="35"/>
      <c r="F172" s="34">
        <v>342856</v>
      </c>
      <c r="G172" s="34">
        <v>4512</v>
      </c>
      <c r="H172" s="34">
        <v>477433</v>
      </c>
      <c r="I172" s="34">
        <v>169142</v>
      </c>
    </row>
    <row r="173" spans="1:9" x14ac:dyDescent="0.15">
      <c r="A173" s="5">
        <v>2003</v>
      </c>
      <c r="B173" s="34"/>
      <c r="C173" s="34"/>
      <c r="D173" s="34"/>
      <c r="E173" s="35"/>
      <c r="F173" s="34">
        <v>299355</v>
      </c>
      <c r="G173" s="34">
        <v>6845</v>
      </c>
      <c r="H173" s="34">
        <v>513725.29649999994</v>
      </c>
      <c r="I173" s="34">
        <v>192793</v>
      </c>
    </row>
    <row r="174" spans="1:9" x14ac:dyDescent="0.15">
      <c r="A174" s="5">
        <v>2004</v>
      </c>
      <c r="B174" s="34"/>
      <c r="C174" s="34"/>
      <c r="D174" s="34"/>
      <c r="E174" s="35"/>
      <c r="F174" s="34">
        <v>363831</v>
      </c>
      <c r="G174" s="34">
        <v>6975</v>
      </c>
      <c r="H174" s="34">
        <v>472614.54550000001</v>
      </c>
      <c r="I174" s="34">
        <v>170380</v>
      </c>
    </row>
    <row r="175" spans="1:9" x14ac:dyDescent="0.15">
      <c r="A175" s="5">
        <v>2005</v>
      </c>
      <c r="B175" s="34"/>
      <c r="C175" s="34"/>
      <c r="D175" s="34"/>
      <c r="E175" s="35"/>
      <c r="F175" s="34">
        <v>327658</v>
      </c>
      <c r="G175" s="34">
        <v>7162</v>
      </c>
      <c r="H175" s="34">
        <v>678135</v>
      </c>
      <c r="I175" s="34">
        <v>199738</v>
      </c>
    </row>
    <row r="176" spans="1:9" x14ac:dyDescent="0.15">
      <c r="A176" s="5">
        <v>2006</v>
      </c>
      <c r="B176" s="34"/>
      <c r="C176" s="34"/>
      <c r="D176" s="34"/>
      <c r="E176" s="35"/>
      <c r="F176" s="34">
        <v>272417</v>
      </c>
      <c r="G176" s="34">
        <v>9147</v>
      </c>
      <c r="H176" s="34">
        <v>803236.92299999995</v>
      </c>
      <c r="I176" s="34">
        <v>191138</v>
      </c>
    </row>
    <row r="177" spans="1:9" x14ac:dyDescent="0.15">
      <c r="A177" s="5">
        <v>2007</v>
      </c>
      <c r="B177" s="34"/>
      <c r="C177" s="34"/>
      <c r="D177" s="34"/>
      <c r="E177" s="35"/>
      <c r="F177" s="34">
        <v>247996</v>
      </c>
      <c r="G177" s="34">
        <v>7798</v>
      </c>
      <c r="H177" s="34">
        <v>930505</v>
      </c>
      <c r="I177" s="34">
        <v>215385</v>
      </c>
    </row>
    <row r="178" spans="1:9" x14ac:dyDescent="0.15">
      <c r="A178" s="5">
        <v>2008</v>
      </c>
      <c r="B178" s="34"/>
      <c r="C178" s="34"/>
      <c r="D178" s="34"/>
      <c r="E178" s="35"/>
      <c r="F178" s="34">
        <v>249410.39500000002</v>
      </c>
      <c r="G178" s="34">
        <v>5259.9379999999983</v>
      </c>
      <c r="H178" s="34">
        <v>1283230.3216240001</v>
      </c>
      <c r="I178" s="34">
        <v>264867</v>
      </c>
    </row>
    <row r="179" spans="1:9" x14ac:dyDescent="0.15">
      <c r="A179" s="5">
        <v>2009</v>
      </c>
      <c r="B179" s="34"/>
      <c r="C179" s="34"/>
      <c r="D179" s="34"/>
      <c r="E179" s="35"/>
      <c r="F179" s="34">
        <v>266513.97900000005</v>
      </c>
      <c r="G179" s="34">
        <v>10860.412</v>
      </c>
      <c r="H179" s="34">
        <v>1614576.5389999999</v>
      </c>
      <c r="I179" s="34">
        <v>342648</v>
      </c>
    </row>
    <row r="180" spans="1:9" x14ac:dyDescent="0.15">
      <c r="A180" s="5">
        <v>2010</v>
      </c>
      <c r="B180" s="34"/>
      <c r="C180" s="34"/>
      <c r="D180" s="34"/>
      <c r="E180" s="35"/>
      <c r="F180" s="34">
        <v>243467</v>
      </c>
      <c r="G180" s="34">
        <v>12808</v>
      </c>
      <c r="H180" s="34">
        <v>1714682</v>
      </c>
      <c r="I180" s="34">
        <v>284061</v>
      </c>
    </row>
    <row r="181" spans="1:9" x14ac:dyDescent="0.15">
      <c r="A181" s="5">
        <v>2011</v>
      </c>
      <c r="B181" s="34"/>
      <c r="C181" s="34"/>
      <c r="D181" s="34"/>
      <c r="E181" s="35"/>
      <c r="F181" s="34">
        <v>275626</v>
      </c>
      <c r="G181" s="34">
        <v>13937</v>
      </c>
      <c r="H181" s="34">
        <v>1804223</v>
      </c>
      <c r="I181" s="34">
        <v>306896</v>
      </c>
    </row>
    <row r="182" spans="1:9" x14ac:dyDescent="0.15">
      <c r="A182" s="5">
        <v>2012</v>
      </c>
      <c r="B182" s="34"/>
      <c r="C182" s="34"/>
      <c r="D182" s="34"/>
      <c r="E182" s="35"/>
      <c r="F182" s="34">
        <v>236648</v>
      </c>
      <c r="G182" s="34">
        <v>21334</v>
      </c>
      <c r="H182" s="34">
        <v>1901031</v>
      </c>
      <c r="I182" s="34">
        <v>350254</v>
      </c>
    </row>
    <row r="183" spans="1:9" x14ac:dyDescent="0.15">
      <c r="A183" s="5">
        <v>2013</v>
      </c>
      <c r="B183" s="34">
        <v>47791</v>
      </c>
      <c r="C183" s="34">
        <v>0</v>
      </c>
      <c r="D183" s="34">
        <v>79282</v>
      </c>
      <c r="E183" s="35">
        <v>350</v>
      </c>
      <c r="F183" s="34">
        <v>206179</v>
      </c>
      <c r="G183" s="34">
        <v>12264</v>
      </c>
      <c r="H183" s="34">
        <v>1876111</v>
      </c>
      <c r="I183" s="34">
        <v>371009</v>
      </c>
    </row>
    <row r="184" spans="1:9" x14ac:dyDescent="0.15">
      <c r="A184" s="5">
        <v>2014</v>
      </c>
      <c r="B184" s="34">
        <v>6516</v>
      </c>
      <c r="C184" s="34">
        <v>0</v>
      </c>
      <c r="D184" s="34">
        <v>54274</v>
      </c>
      <c r="E184" s="35">
        <v>2533</v>
      </c>
      <c r="F184" s="34">
        <v>256551</v>
      </c>
      <c r="G184" s="34">
        <v>11546</v>
      </c>
      <c r="H184" s="34">
        <v>2059695</v>
      </c>
      <c r="I184" s="34">
        <v>394395</v>
      </c>
    </row>
    <row r="185" spans="1:9" x14ac:dyDescent="0.15">
      <c r="A185" s="5">
        <v>2015</v>
      </c>
      <c r="B185" s="34">
        <v>14709</v>
      </c>
      <c r="C185" s="34">
        <v>0</v>
      </c>
      <c r="D185" s="34">
        <v>97659</v>
      </c>
      <c r="E185" s="35">
        <v>1266</v>
      </c>
      <c r="F185" s="34">
        <v>293868</v>
      </c>
      <c r="G185" s="34">
        <v>20948</v>
      </c>
      <c r="H185" s="34">
        <v>2113031</v>
      </c>
      <c r="I185" s="34">
        <v>395176</v>
      </c>
    </row>
    <row r="186" spans="1:9" x14ac:dyDescent="0.15">
      <c r="A186" s="5">
        <v>2016</v>
      </c>
      <c r="B186" s="34">
        <v>0</v>
      </c>
      <c r="C186" s="34">
        <v>0</v>
      </c>
      <c r="D186" s="34">
        <v>18649</v>
      </c>
      <c r="E186" s="35">
        <v>395</v>
      </c>
      <c r="F186" s="34">
        <v>313594</v>
      </c>
      <c r="G186" s="34">
        <v>24810</v>
      </c>
      <c r="H186" s="34">
        <v>2259791</v>
      </c>
      <c r="I186" s="34">
        <v>408179</v>
      </c>
    </row>
    <row r="187" spans="1:9" x14ac:dyDescent="0.15">
      <c r="A187" s="5">
        <v>2017</v>
      </c>
      <c r="B187" s="34">
        <v>0</v>
      </c>
      <c r="C187" s="34">
        <v>0</v>
      </c>
      <c r="D187" s="34">
        <v>8210</v>
      </c>
      <c r="E187" s="35">
        <v>630</v>
      </c>
      <c r="F187" s="34">
        <v>281311</v>
      </c>
      <c r="G187" s="34">
        <v>27776</v>
      </c>
      <c r="H187" s="34">
        <v>2108114</v>
      </c>
      <c r="I187" s="34">
        <v>514471</v>
      </c>
    </row>
    <row r="188" spans="1:9" x14ac:dyDescent="0.15">
      <c r="A188" s="5">
        <v>2018</v>
      </c>
      <c r="B188" s="34">
        <v>10366</v>
      </c>
      <c r="C188" s="34">
        <v>0</v>
      </c>
      <c r="D188" s="34">
        <v>46599</v>
      </c>
      <c r="E188" s="35">
        <v>3248</v>
      </c>
      <c r="F188" s="34">
        <v>276259</v>
      </c>
      <c r="G188" s="34">
        <v>30221</v>
      </c>
      <c r="H188" s="34">
        <v>1895005</v>
      </c>
      <c r="I188" s="34">
        <v>563689</v>
      </c>
    </row>
    <row r="189" spans="1:9" x14ac:dyDescent="0.15">
      <c r="A189" s="5">
        <v>2019</v>
      </c>
      <c r="B189" s="38">
        <v>39419</v>
      </c>
      <c r="C189" s="34">
        <v>0</v>
      </c>
      <c r="D189" s="34">
        <v>48818</v>
      </c>
      <c r="E189" s="35">
        <v>1987</v>
      </c>
      <c r="F189" s="36">
        <v>212566</v>
      </c>
      <c r="G189" s="36">
        <v>28794</v>
      </c>
      <c r="H189" s="36">
        <v>1924743</v>
      </c>
      <c r="I189" s="34">
        <v>670100</v>
      </c>
    </row>
    <row r="190" spans="1:9" x14ac:dyDescent="0.15">
      <c r="A190" s="17">
        <v>2020</v>
      </c>
      <c r="B190" s="37">
        <v>0</v>
      </c>
      <c r="C190" s="37">
        <v>0</v>
      </c>
      <c r="D190" s="37">
        <v>28465</v>
      </c>
      <c r="E190" s="39">
        <v>1756</v>
      </c>
      <c r="F190" s="37">
        <v>174556</v>
      </c>
      <c r="G190" s="37">
        <v>26555</v>
      </c>
      <c r="H190" s="37">
        <v>1721786</v>
      </c>
      <c r="I190" s="37">
        <v>725297</v>
      </c>
    </row>
  </sheetData>
  <mergeCells count="3">
    <mergeCell ref="B2:I2"/>
    <mergeCell ref="F3:I3"/>
    <mergeCell ref="B3:E3"/>
  </mergeCells>
  <hyperlinks>
    <hyperlink ref="A2" location="Front!A1" display="Front!A1" xr:uid="{8F9C40DE-15B5-4EB2-915D-D0931BDF923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Front</vt:lpstr>
      <vt:lpstr>Table III A4.1</vt:lpstr>
      <vt:lpstr>Table III A4.2</vt:lpstr>
      <vt:lpstr>Table III A4.3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2021-03-07T09:19:12Z</dcterms:created>
  <dcterms:modified xsi:type="dcterms:W3CDTF">2022-12-15T13:26:32Z</dcterms:modified>
</cp:coreProperties>
</file>